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ramotoakihiro/Desktop/"/>
    </mc:Choice>
  </mc:AlternateContent>
  <xr:revisionPtr revIDLastSave="0" documentId="13_ncr:1_{352100F1-F12C-F940-BE03-0F0A981C5297}" xr6:coauthVersionLast="47" xr6:coauthVersionMax="47" xr10:uidLastSave="{00000000-0000-0000-0000-000000000000}"/>
  <bookViews>
    <workbookView xWindow="31060" yWindow="500" windowWidth="19380" windowHeight="21100" xr2:uid="{FD54E2D6-1640-4CD0-B3C7-5E71286ADCE9}"/>
  </bookViews>
  <sheets>
    <sheet name="スタメン" sheetId="1" r:id="rId1"/>
    <sheet name="守備" sheetId="71" r:id="rId2"/>
    <sheet name="表" sheetId="74" r:id="rId3"/>
    <sheet name="裏" sheetId="75" r:id="rId4"/>
    <sheet name="スタメン制作CG分" sheetId="76" r:id="rId5"/>
    <sheet name="date" sheetId="70" r:id="rId6"/>
  </sheets>
  <definedNames>
    <definedName name="_xlnm._FilterDatabase" localSheetId="5" hidden="1">date!$A$1:$A$30</definedName>
    <definedName name="_xlnm._FilterDatabase" localSheetId="0" hidden="1">スタメン!$B$6:$C$14</definedName>
    <definedName name="_xlnm._FilterDatabase" localSheetId="4" hidden="1">スタメン制作CG分!$C$6:$D$14</definedName>
    <definedName name="_xlnm._FilterDatabase" localSheetId="1" hidden="1">守備!$B$3:$U$4</definedName>
    <definedName name="_xlnm._FilterDatabase" localSheetId="2" hidden="1">表!$B$3:$P$4</definedName>
    <definedName name="_xlnm._FilterDatabase" localSheetId="3" hidden="1">裏!$B$3:$R$4</definedName>
    <definedName name="_xlnm.Extract" localSheetId="0">スタメン!$C$6:$C$14</definedName>
    <definedName name="_xlnm.Extract" localSheetId="4">スタメン制作CG分!$D$6:$D$14</definedName>
    <definedName name="_xlnm.Extract" localSheetId="1">守備!$C$8:$C$17</definedName>
    <definedName name="_xlnm.Extract" localSheetId="2">表!$C$9:$C$18</definedName>
    <definedName name="_xlnm.Extract" localSheetId="3">裏!$C$8:$C$17</definedName>
    <definedName name="_xlnm.Print_Area" localSheetId="0">スタメン!$B$1:$L$15</definedName>
    <definedName name="_xlnm.Print_Area" localSheetId="4">スタメン制作CG分!$A$1:$U$24</definedName>
    <definedName name="_xlnm.Print_Area" localSheetId="1">守備!$A$1:$W$25</definedName>
    <definedName name="_xlnm.Print_Area" localSheetId="2">表!$A$1:$R$25</definedName>
    <definedName name="_xlnm.Print_Area" localSheetId="3">裏!$A$1:$R$25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ocument_23ceb58e-bffd-4075-9e3d-876df235f734" name="Document" connection="クエリ - Documen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I14" i="1"/>
  <c r="I13" i="1"/>
  <c r="I12" i="1"/>
  <c r="I11" i="1"/>
  <c r="I10" i="1"/>
  <c r="I9" i="1"/>
  <c r="I8" i="1"/>
  <c r="I7" i="1"/>
  <c r="I6" i="1"/>
  <c r="F14" i="1"/>
  <c r="F13" i="1"/>
  <c r="F12" i="1"/>
  <c r="F11" i="1"/>
  <c r="F10" i="1"/>
  <c r="F9" i="1"/>
  <c r="F8" i="1"/>
  <c r="F7" i="1"/>
  <c r="F6" i="1"/>
  <c r="C14" i="1"/>
  <c r="C13" i="1"/>
  <c r="C12" i="1"/>
  <c r="C11" i="1"/>
  <c r="C10" i="1"/>
  <c r="C9" i="1"/>
  <c r="C8" i="1"/>
  <c r="C7" i="1"/>
  <c r="C6" i="1"/>
  <c r="C1" i="76" l="1"/>
  <c r="B1" i="71" l="1"/>
  <c r="J2" i="74"/>
  <c r="C2" i="74"/>
  <c r="C2" i="75"/>
  <c r="N2" i="75"/>
  <c r="I5" i="70" l="1"/>
  <c r="I3" i="70"/>
  <c r="J4" i="76" l="1"/>
  <c r="C2" i="76" l="1"/>
  <c r="S4" i="76" l="1"/>
  <c r="O4" i="76"/>
  <c r="N4" i="76"/>
  <c r="L3" i="76"/>
  <c r="C3" i="76"/>
  <c r="S7" i="76"/>
  <c r="S8" i="76"/>
  <c r="S9" i="76"/>
  <c r="S10" i="76"/>
  <c r="S11" i="76"/>
  <c r="S12" i="76"/>
  <c r="S13" i="76"/>
  <c r="S14" i="76"/>
  <c r="O7" i="76"/>
  <c r="O8" i="76"/>
  <c r="O9" i="76"/>
  <c r="O10" i="76"/>
  <c r="O11" i="76"/>
  <c r="O12" i="76"/>
  <c r="O13" i="76"/>
  <c r="O14" i="76"/>
  <c r="N7" i="76"/>
  <c r="N8" i="76"/>
  <c r="N9" i="76"/>
  <c r="N10" i="76"/>
  <c r="N11" i="76"/>
  <c r="N12" i="76"/>
  <c r="N13" i="76"/>
  <c r="N14" i="76"/>
  <c r="M7" i="76"/>
  <c r="M8" i="76"/>
  <c r="M9" i="76"/>
  <c r="M10" i="76"/>
  <c r="M11" i="76"/>
  <c r="M12" i="76"/>
  <c r="M13" i="76"/>
  <c r="M14" i="76"/>
  <c r="J7" i="76"/>
  <c r="J8" i="76"/>
  <c r="J9" i="76"/>
  <c r="J10" i="76"/>
  <c r="J11" i="76"/>
  <c r="J12" i="76"/>
  <c r="J13" i="76"/>
  <c r="J14" i="76"/>
  <c r="F7" i="76"/>
  <c r="F8" i="76"/>
  <c r="F9" i="76"/>
  <c r="F10" i="76"/>
  <c r="F11" i="76"/>
  <c r="F12" i="76"/>
  <c r="F13" i="76"/>
  <c r="F14" i="76"/>
  <c r="E7" i="76"/>
  <c r="E8" i="76"/>
  <c r="E9" i="76"/>
  <c r="E10" i="76"/>
  <c r="E11" i="76"/>
  <c r="E12" i="76"/>
  <c r="E13" i="76"/>
  <c r="E14" i="76"/>
  <c r="D7" i="76"/>
  <c r="D8" i="76"/>
  <c r="D9" i="76"/>
  <c r="D10" i="76"/>
  <c r="D11" i="76"/>
  <c r="D12" i="76"/>
  <c r="D13" i="76"/>
  <c r="D14" i="76"/>
  <c r="S6" i="76"/>
  <c r="O6" i="76"/>
  <c r="N6" i="76"/>
  <c r="M6" i="76"/>
  <c r="J6" i="76"/>
  <c r="F6" i="76"/>
  <c r="E6" i="76"/>
  <c r="D6" i="76"/>
  <c r="E4" i="76"/>
  <c r="F4" i="76"/>
  <c r="E17" i="75"/>
  <c r="D18" i="75"/>
  <c r="L17" i="74"/>
  <c r="K18" i="74"/>
  <c r="Q17" i="71"/>
  <c r="P18" i="71"/>
  <c r="E17" i="71"/>
  <c r="D18" i="71"/>
  <c r="P22" i="75"/>
  <c r="P20" i="75"/>
  <c r="P18" i="75"/>
  <c r="P16" i="75"/>
  <c r="P14" i="75"/>
  <c r="P12" i="75"/>
  <c r="P10" i="75"/>
  <c r="P8" i="75"/>
  <c r="P6" i="75"/>
  <c r="Q4" i="75"/>
  <c r="P4" i="75"/>
  <c r="O4" i="75"/>
  <c r="Q22" i="75"/>
  <c r="Q20" i="75"/>
  <c r="Q18" i="75"/>
  <c r="Q16" i="75"/>
  <c r="Q14" i="75"/>
  <c r="Q12" i="75"/>
  <c r="Q10" i="75"/>
  <c r="Q8" i="75"/>
  <c r="Q6" i="75"/>
  <c r="O22" i="75"/>
  <c r="O20" i="75"/>
  <c r="O18" i="75"/>
  <c r="O16" i="75"/>
  <c r="O14" i="75"/>
  <c r="O12" i="75"/>
  <c r="O10" i="75"/>
  <c r="O8" i="75"/>
  <c r="O6" i="75"/>
  <c r="N22" i="75"/>
  <c r="N20" i="75"/>
  <c r="N18" i="75"/>
  <c r="N16" i="75"/>
  <c r="N14" i="75"/>
  <c r="N12" i="75"/>
  <c r="N10" i="75"/>
  <c r="N8" i="75"/>
  <c r="N6" i="75"/>
  <c r="D22" i="74"/>
  <c r="D20" i="74"/>
  <c r="D18" i="74"/>
  <c r="D16" i="74"/>
  <c r="D14" i="74"/>
  <c r="D12" i="74"/>
  <c r="D10" i="74"/>
  <c r="D8" i="74"/>
  <c r="F22" i="74"/>
  <c r="E22" i="74"/>
  <c r="C22" i="74"/>
  <c r="F20" i="74"/>
  <c r="E20" i="74"/>
  <c r="C20" i="74"/>
  <c r="F18" i="74"/>
  <c r="E18" i="74"/>
  <c r="C18" i="74"/>
  <c r="F16" i="74"/>
  <c r="E16" i="74"/>
  <c r="C16" i="74"/>
  <c r="F14" i="74"/>
  <c r="E14" i="74"/>
  <c r="C14" i="74"/>
  <c r="F12" i="74"/>
  <c r="E12" i="74"/>
  <c r="C12" i="74"/>
  <c r="F10" i="74"/>
  <c r="E10" i="74"/>
  <c r="C10" i="74"/>
  <c r="F8" i="74"/>
  <c r="E8" i="74"/>
  <c r="C8" i="74"/>
  <c r="F6" i="74"/>
  <c r="E6" i="74"/>
  <c r="D6" i="74"/>
  <c r="C6" i="74"/>
  <c r="F4" i="74"/>
  <c r="E4" i="74"/>
  <c r="D4" i="74"/>
  <c r="C25" i="75"/>
  <c r="B25" i="75"/>
  <c r="D23" i="75"/>
  <c r="E22" i="75"/>
  <c r="H15" i="75"/>
  <c r="A15" i="75"/>
  <c r="I14" i="75"/>
  <c r="B14" i="75"/>
  <c r="G12" i="75"/>
  <c r="B12" i="75"/>
  <c r="H11" i="75"/>
  <c r="C11" i="75"/>
  <c r="H8" i="75"/>
  <c r="A8" i="75"/>
  <c r="I7" i="75"/>
  <c r="B7" i="75"/>
  <c r="D6" i="75"/>
  <c r="E5" i="75"/>
  <c r="J25" i="74"/>
  <c r="I25" i="74"/>
  <c r="K23" i="74"/>
  <c r="L22" i="74"/>
  <c r="O15" i="74"/>
  <c r="H15" i="74"/>
  <c r="P14" i="74"/>
  <c r="I14" i="74"/>
  <c r="N12" i="74"/>
  <c r="I12" i="74"/>
  <c r="O11" i="74"/>
  <c r="J11" i="74"/>
  <c r="O8" i="74"/>
  <c r="H8" i="74"/>
  <c r="P7" i="74"/>
  <c r="I7" i="74"/>
  <c r="K6" i="74"/>
  <c r="L5" i="74"/>
  <c r="N14" i="71"/>
  <c r="M15" i="71"/>
  <c r="U14" i="71"/>
  <c r="T15" i="71"/>
  <c r="T11" i="71"/>
  <c r="S12" i="71"/>
  <c r="O11" i="71"/>
  <c r="N12" i="71"/>
  <c r="U7" i="71"/>
  <c r="T8" i="71"/>
  <c r="N7" i="71"/>
  <c r="M8" i="71"/>
  <c r="Q5" i="71"/>
  <c r="P6" i="71"/>
  <c r="Q22" i="71"/>
  <c r="P23" i="71"/>
  <c r="N25" i="71"/>
  <c r="O25" i="71"/>
  <c r="B25" i="71"/>
  <c r="C25" i="71"/>
  <c r="E22" i="71"/>
  <c r="D23" i="71"/>
  <c r="I14" i="71"/>
  <c r="H15" i="71"/>
  <c r="B14" i="71"/>
  <c r="A15" i="71"/>
  <c r="H11" i="71"/>
  <c r="G12" i="71"/>
  <c r="C11" i="71"/>
  <c r="B12" i="71"/>
  <c r="I7" i="71"/>
  <c r="H8" i="71"/>
  <c r="B7" i="71"/>
  <c r="A8" i="71"/>
  <c r="E5" i="71"/>
  <c r="E6" i="71"/>
  <c r="N2" i="71" l="1"/>
  <c r="B2" i="7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1EEDC-81F5-48D1-AC86-6E6D9BE0DC1F}" keepAlive="1" name="ThisWorkbookDataModel" description="データ モデル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CE0A879-4E4B-40D0-B1D0-3B55398BCAC4}" keepAlive="1" name="クエリ - a" description="ブック内の 'a' クエリへの接続です。" type="5" refreshedVersion="6" background="1">
    <dbPr connection="Provider=Microsoft.Mashup.OleDb.1;Data Source=$Workbook$;Location=a;Extended Properties=&quot;&quot;" command="SELECT * FROM [a]"/>
  </connection>
  <connection id="3" xr16:uid="{ABBD6368-80ED-4742-87D1-2C8EE3FE8388}" name="クエリ - Document" description="ブック内の 'Document' クエリへの接続です。" type="100" refreshedVersion="6" minRefreshableVersion="5">
    <extLst>
      <ext xmlns:x15="http://schemas.microsoft.com/office/spreadsheetml/2010/11/main" uri="{DE250136-89BD-433C-8126-D09CA5730AF9}">
        <x15:connection id="bda1e0b0-7ec2-45d0-ad5d-2b151a90b218"/>
      </ext>
    </extLst>
  </connection>
</connections>
</file>

<file path=xl/sharedStrings.xml><?xml version="1.0" encoding="utf-8"?>
<sst xmlns="http://schemas.openxmlformats.org/spreadsheetml/2006/main" count="147" uniqueCount="88">
  <si>
    <t>表記元 (MLB.JP/選手一覧)</t>
    <rPh sb="0" eb="2">
      <t>ヒョウキ</t>
    </rPh>
    <rPh sb="2" eb="3">
      <t>モト</t>
    </rPh>
    <rPh sb="12" eb="14">
      <t>センシュ</t>
    </rPh>
    <rPh sb="14" eb="16">
      <t>イチラン</t>
    </rPh>
    <phoneticPr fontId="1"/>
  </si>
  <si>
    <t>http://www.mlb.jp/playerlist/</t>
    <phoneticPr fontId="1"/>
  </si>
  <si>
    <t>P</t>
    <phoneticPr fontId="1"/>
  </si>
  <si>
    <t>R</t>
  </si>
  <si>
    <t>スタメンコピペ欄</t>
    <rPh sb="7" eb="8">
      <t>ラン</t>
    </rPh>
    <phoneticPr fontId="1"/>
  </si>
  <si>
    <t>CF</t>
    <phoneticPr fontId="1"/>
  </si>
  <si>
    <t>LF</t>
    <phoneticPr fontId="1"/>
  </si>
  <si>
    <t>RF</t>
    <phoneticPr fontId="1"/>
  </si>
  <si>
    <t>SS</t>
    <phoneticPr fontId="1"/>
  </si>
  <si>
    <t>2B</t>
    <phoneticPr fontId="1"/>
  </si>
  <si>
    <t>3B</t>
    <phoneticPr fontId="1"/>
  </si>
  <si>
    <t>1B</t>
    <phoneticPr fontId="1"/>
  </si>
  <si>
    <t>C</t>
    <phoneticPr fontId="1"/>
  </si>
  <si>
    <t>DH</t>
    <phoneticPr fontId="1"/>
  </si>
  <si>
    <t/>
  </si>
  <si>
    <t>表</t>
    <rPh sb="0" eb="1">
      <t>オモテ</t>
    </rPh>
    <phoneticPr fontId="1"/>
  </si>
  <si>
    <t>攻</t>
    <rPh sb="0" eb="1">
      <t>コウ</t>
    </rPh>
    <phoneticPr fontId="1"/>
  </si>
  <si>
    <t>守</t>
    <rPh sb="0" eb="1">
      <t>シュ</t>
    </rPh>
    <phoneticPr fontId="1"/>
  </si>
  <si>
    <t>ウラ</t>
    <phoneticPr fontId="1"/>
  </si>
  <si>
    <t>守</t>
    <rPh sb="0" eb="1">
      <t>マモル</t>
    </rPh>
    <phoneticPr fontId="1"/>
  </si>
  <si>
    <t>ニューヨーク・ヤンキース</t>
    <phoneticPr fontId="1"/>
  </si>
  <si>
    <t>計算式</t>
    <rPh sb="0" eb="2">
      <t>ケイサン</t>
    </rPh>
    <rPh sb="2" eb="3">
      <t>シキ</t>
    </rPh>
    <phoneticPr fontId="1"/>
  </si>
  <si>
    <t>ボストン・レッドソックス</t>
    <phoneticPr fontId="1"/>
  </si>
  <si>
    <t>トロント・ブルージェイズ</t>
    <phoneticPr fontId="1"/>
  </si>
  <si>
    <t>身長</t>
    <rPh sb="0" eb="2">
      <t>シンチョウ</t>
    </rPh>
    <phoneticPr fontId="1"/>
  </si>
  <si>
    <t>フィート</t>
    <phoneticPr fontId="1"/>
  </si>
  <si>
    <t>インチ</t>
    <phoneticPr fontId="1"/>
  </si>
  <si>
    <t>→</t>
    <phoneticPr fontId="1"/>
  </si>
  <si>
    <t>cm</t>
    <phoneticPr fontId="1"/>
  </si>
  <si>
    <t>ボルティモア・オリオールズ</t>
    <phoneticPr fontId="1"/>
  </si>
  <si>
    <t>タンパベイ・レイズ</t>
    <phoneticPr fontId="1"/>
  </si>
  <si>
    <t>体重</t>
    <rPh sb="0" eb="2">
      <t>タイジュウ</t>
    </rPh>
    <phoneticPr fontId="1"/>
  </si>
  <si>
    <t>ポンド</t>
    <phoneticPr fontId="1"/>
  </si>
  <si>
    <t>kg</t>
    <phoneticPr fontId="1"/>
  </si>
  <si>
    <t>デトロイト・タイガース</t>
    <phoneticPr fontId="1"/>
  </si>
  <si>
    <t>ミネソタ・ツインズ</t>
    <phoneticPr fontId="1"/>
  </si>
  <si>
    <t>シカゴ・ホワイトソックス</t>
    <phoneticPr fontId="1"/>
  </si>
  <si>
    <t>クリーブランド・インディアンス</t>
    <phoneticPr fontId="1"/>
  </si>
  <si>
    <t>カンザスシティ・ロイヤルズ</t>
    <phoneticPr fontId="1"/>
  </si>
  <si>
    <t>オークランド・アスレチックス</t>
    <phoneticPr fontId="1"/>
  </si>
  <si>
    <t>L</t>
    <phoneticPr fontId="1"/>
  </si>
  <si>
    <t>ロサンゼルス・エンゼルス</t>
    <phoneticPr fontId="1"/>
  </si>
  <si>
    <t>R</t>
    <phoneticPr fontId="1"/>
  </si>
  <si>
    <t>シアトル・マリナーズ</t>
    <phoneticPr fontId="1"/>
  </si>
  <si>
    <t>S</t>
    <phoneticPr fontId="1"/>
  </si>
  <si>
    <t>テキサス・レンジャーズ</t>
    <phoneticPr fontId="1"/>
  </si>
  <si>
    <t>ヒューストン・アストロズ</t>
    <phoneticPr fontId="1"/>
  </si>
  <si>
    <t>アトランタ・ブレーブス</t>
    <phoneticPr fontId="1"/>
  </si>
  <si>
    <t>ワシントン・ナショナルズ</t>
    <phoneticPr fontId="1"/>
  </si>
  <si>
    <t>フィラデルフィア・フィリーズ</t>
    <phoneticPr fontId="1"/>
  </si>
  <si>
    <t>マイアミ・マーリンズ</t>
    <phoneticPr fontId="1"/>
  </si>
  <si>
    <t>ニューヨーク・メッツ</t>
    <phoneticPr fontId="1"/>
  </si>
  <si>
    <t>セントルイス・カージナルス</t>
    <phoneticPr fontId="1"/>
  </si>
  <si>
    <t>シンシナティ・レッズ</t>
    <phoneticPr fontId="1"/>
  </si>
  <si>
    <t>ピッツバーグ・パイレーツ</t>
    <phoneticPr fontId="1"/>
  </si>
  <si>
    <t>シカゴ・カブス</t>
    <phoneticPr fontId="1"/>
  </si>
  <si>
    <t>ミルウォーキー・ブリュワーズ</t>
    <phoneticPr fontId="1"/>
  </si>
  <si>
    <t>アリゾナ・ダイヤモンドバックス</t>
    <phoneticPr fontId="1"/>
  </si>
  <si>
    <t>サンフランシスコ・ジャイアンツ</t>
    <phoneticPr fontId="1"/>
  </si>
  <si>
    <t>ロサンゼルス・ドジャース</t>
    <phoneticPr fontId="1"/>
  </si>
  <si>
    <t>コロラド・ロッキーズ</t>
    <phoneticPr fontId="1"/>
  </si>
  <si>
    <t>サンディエゴ・パドレス</t>
    <phoneticPr fontId="1"/>
  </si>
  <si>
    <t>LGツインズ</t>
    <phoneticPr fontId="1"/>
  </si>
  <si>
    <r>
      <t>F Lindor</t>
    </r>
    <r>
      <rPr>
        <u/>
        <sz val="11"/>
        <color theme="10"/>
        <rFont val="游ゴシック"/>
        <family val="3"/>
        <charset val="128"/>
        <scheme val="minor"/>
      </rPr>
      <t> (S) SS</t>
    </r>
  </si>
  <si>
    <r>
      <t>J Soto</t>
    </r>
    <r>
      <rPr>
        <u/>
        <sz val="11"/>
        <color theme="10"/>
        <rFont val="游ゴシック"/>
        <family val="3"/>
        <charset val="128"/>
        <scheme val="minor"/>
      </rPr>
      <t> (L) RF</t>
    </r>
  </si>
  <si>
    <r>
      <t>P Alonso</t>
    </r>
    <r>
      <rPr>
        <u/>
        <sz val="11"/>
        <color theme="10"/>
        <rFont val="游ゴシック"/>
        <family val="3"/>
        <charset val="128"/>
        <scheme val="minor"/>
      </rPr>
      <t> (R) 1B</t>
    </r>
  </si>
  <si>
    <r>
      <t>B Nimmo</t>
    </r>
    <r>
      <rPr>
        <u/>
        <sz val="11"/>
        <color theme="10"/>
        <rFont val="游ゴシック"/>
        <family val="3"/>
        <charset val="128"/>
        <scheme val="minor"/>
      </rPr>
      <t> (L) LF</t>
    </r>
  </si>
  <si>
    <r>
      <t>M Vientos</t>
    </r>
    <r>
      <rPr>
        <u/>
        <sz val="11"/>
        <color theme="10"/>
        <rFont val="游ゴシック"/>
        <family val="3"/>
        <charset val="128"/>
        <scheme val="minor"/>
      </rPr>
      <t> (R) DH</t>
    </r>
  </si>
  <si>
    <r>
      <t>B Baty</t>
    </r>
    <r>
      <rPr>
        <u/>
        <sz val="11"/>
        <color theme="10"/>
        <rFont val="游ゴシック"/>
        <family val="3"/>
        <charset val="128"/>
        <scheme val="minor"/>
      </rPr>
      <t> (L) 3B</t>
    </r>
  </si>
  <si>
    <r>
      <t>F Alvarez</t>
    </r>
    <r>
      <rPr>
        <u/>
        <sz val="11"/>
        <color theme="10"/>
        <rFont val="游ゴシック"/>
        <family val="3"/>
        <charset val="128"/>
        <scheme val="minor"/>
      </rPr>
      <t> (R) C</t>
    </r>
  </si>
  <si>
    <r>
      <t>J McNeil</t>
    </r>
    <r>
      <rPr>
        <u/>
        <sz val="11"/>
        <color theme="10"/>
        <rFont val="游ゴシック"/>
        <family val="3"/>
        <charset val="128"/>
        <scheme val="minor"/>
      </rPr>
      <t> (L) 2B</t>
    </r>
  </si>
  <si>
    <r>
      <t>T Taylor</t>
    </r>
    <r>
      <rPr>
        <u/>
        <sz val="11"/>
        <color theme="10"/>
        <rFont val="游ゴシック"/>
        <family val="3"/>
        <charset val="128"/>
        <scheme val="minor"/>
      </rPr>
      <t> (R) CF</t>
    </r>
  </si>
  <si>
    <r>
      <t>J Duran</t>
    </r>
    <r>
      <rPr>
        <u/>
        <sz val="11"/>
        <color theme="10"/>
        <rFont val="游ゴシック"/>
        <family val="3"/>
        <charset val="128"/>
        <scheme val="minor"/>
      </rPr>
      <t> (L) LF</t>
    </r>
  </si>
  <si>
    <r>
      <t>R Devers</t>
    </r>
    <r>
      <rPr>
        <u/>
        <sz val="11"/>
        <color theme="10"/>
        <rFont val="游ゴシック"/>
        <family val="3"/>
        <charset val="128"/>
        <scheme val="minor"/>
      </rPr>
      <t> (L) DH</t>
    </r>
  </si>
  <si>
    <r>
      <t>A Bregman</t>
    </r>
    <r>
      <rPr>
        <u/>
        <sz val="11"/>
        <color theme="10"/>
        <rFont val="游ゴシック"/>
        <family val="3"/>
        <charset val="128"/>
        <scheme val="minor"/>
      </rPr>
      <t> (R) 3B</t>
    </r>
  </si>
  <si>
    <r>
      <t>W Abreu</t>
    </r>
    <r>
      <rPr>
        <u/>
        <sz val="11"/>
        <color theme="10"/>
        <rFont val="游ゴシック"/>
        <family val="3"/>
        <charset val="128"/>
        <scheme val="minor"/>
      </rPr>
      <t> (L) RF</t>
    </r>
  </si>
  <si>
    <r>
      <t>T Story</t>
    </r>
    <r>
      <rPr>
        <u/>
        <sz val="11"/>
        <color theme="10"/>
        <rFont val="游ゴシック"/>
        <family val="3"/>
        <charset val="128"/>
        <scheme val="minor"/>
      </rPr>
      <t> (R) SS</t>
    </r>
  </si>
  <si>
    <r>
      <t>N Sogard</t>
    </r>
    <r>
      <rPr>
        <u/>
        <sz val="11"/>
        <color theme="10"/>
        <rFont val="游ゴシック"/>
        <family val="3"/>
        <charset val="128"/>
        <scheme val="minor"/>
      </rPr>
      <t> (S) 1B</t>
    </r>
  </si>
  <si>
    <r>
      <t>D Hamilton</t>
    </r>
    <r>
      <rPr>
        <u/>
        <sz val="11"/>
        <color theme="10"/>
        <rFont val="游ゴシック"/>
        <family val="3"/>
        <charset val="128"/>
        <scheme val="minor"/>
      </rPr>
      <t> (L) 2B</t>
    </r>
  </si>
  <si>
    <r>
      <t>C Narváez</t>
    </r>
    <r>
      <rPr>
        <u/>
        <sz val="11"/>
        <color theme="10"/>
        <rFont val="游ゴシック"/>
        <family val="3"/>
        <charset val="128"/>
        <scheme val="minor"/>
      </rPr>
      <t> (R) C</t>
    </r>
  </si>
  <si>
    <r>
      <t>C Rafaela</t>
    </r>
    <r>
      <rPr>
        <u/>
        <sz val="11"/>
        <color theme="10"/>
        <rFont val="游ゴシック"/>
        <family val="3"/>
        <charset val="128"/>
        <scheme val="minor"/>
      </rPr>
      <t> (R) CF</t>
    </r>
  </si>
  <si>
    <t>ピッツバーグ・パイレーツ</t>
  </si>
  <si>
    <t>サンディエゴ・パドレス</t>
  </si>
  <si>
    <t>ランディ・バスケス</t>
  </si>
  <si>
    <t>アンドリュー・ヒーニー</t>
  </si>
  <si>
    <t xml:space="preserve"> 6/1 5:10pm  ET.</t>
    <phoneticPr fontId="1"/>
  </si>
  <si>
    <t>L</t>
  </si>
  <si>
    <t>ペトコ・パーク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</si>
</sst>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Meiryo UI"/>
      <family val="3"/>
      <charset val="128"/>
    </font>
    <font>
      <b/>
      <sz val="20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2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20"/>
      <name val="Meiryo UI"/>
      <family val="3"/>
      <charset val="128"/>
    </font>
    <font>
      <b/>
      <sz val="20"/>
      <color theme="0"/>
      <name val="Meiryo UI"/>
      <family val="3"/>
      <charset val="128"/>
    </font>
    <font>
      <sz val="22"/>
      <name val="Meiryo UI"/>
      <family val="3"/>
      <charset val="128"/>
    </font>
    <font>
      <sz val="22"/>
      <color theme="1"/>
      <name val="Meiryo UI"/>
      <family val="3"/>
      <charset val="128"/>
    </font>
    <font>
      <b/>
      <sz val="22"/>
      <name val="Meiryo UI"/>
      <family val="3"/>
      <charset val="128"/>
    </font>
    <font>
      <sz val="12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Meiryo UI"/>
      <family val="3"/>
      <charset val="128"/>
    </font>
    <font>
      <sz val="18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8"/>
      <color theme="1"/>
      <name val="Meiryo UI"/>
      <family val="2"/>
      <charset val="128"/>
    </font>
    <font>
      <sz val="18"/>
      <color rgb="FF000000"/>
      <name val="Meiryo UI"/>
      <family val="2"/>
      <charset val="128"/>
    </font>
    <font>
      <sz val="18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dotted">
        <color auto="1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 style="medium">
        <color indexed="64"/>
      </right>
      <top style="thick">
        <color auto="1"/>
      </top>
      <bottom style="dott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/>
    <xf numFmtId="0" fontId="1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3" fillId="0" borderId="8" xfId="0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2" fillId="3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shrinkToFit="1"/>
    </xf>
    <xf numFmtId="0" fontId="8" fillId="3" borderId="3" xfId="0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vertical="center" shrinkToFit="1"/>
    </xf>
    <xf numFmtId="0" fontId="2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" fillId="0" borderId="0" xfId="0" applyFont="1" applyAlignment="1">
      <alignment horizontal="right" vertical="center"/>
    </xf>
    <xf numFmtId="0" fontId="2" fillId="0" borderId="8" xfId="0" applyFont="1" applyBorder="1">
      <alignment vertical="center"/>
    </xf>
    <xf numFmtId="0" fontId="8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horizontal="center" vertical="center" shrinkToFit="1"/>
    </xf>
    <xf numFmtId="0" fontId="8" fillId="0" borderId="4" xfId="0" applyFont="1" applyBorder="1" applyAlignment="1">
      <alignment vertical="center" shrinkToFit="1"/>
    </xf>
    <xf numFmtId="0" fontId="2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1" fillId="3" borderId="0" xfId="0" applyFont="1" applyFill="1" applyAlignment="1">
      <alignment horizontal="center" vertical="center" shrinkToFit="1"/>
    </xf>
    <xf numFmtId="0" fontId="10" fillId="3" borderId="0" xfId="0" applyFont="1" applyFill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8" fillId="0" borderId="17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7" xfId="0" applyFont="1" applyBorder="1">
      <alignment vertical="center"/>
    </xf>
    <xf numFmtId="0" fontId="2" fillId="0" borderId="27" xfId="0" applyFont="1" applyBorder="1">
      <alignment vertical="center"/>
    </xf>
    <xf numFmtId="0" fontId="8" fillId="0" borderId="28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176" fontId="6" fillId="0" borderId="0" xfId="0" applyNumberFormat="1" applyFont="1">
      <alignment vertical="center"/>
    </xf>
    <xf numFmtId="0" fontId="15" fillId="0" borderId="3" xfId="0" applyFont="1" applyBorder="1" applyAlignment="1">
      <alignment horizontal="center" vertical="center"/>
    </xf>
    <xf numFmtId="0" fontId="7" fillId="0" borderId="0" xfId="1" applyAlignment="1">
      <alignment vertical="center"/>
    </xf>
    <xf numFmtId="0" fontId="0" fillId="5" borderId="0" xfId="0" applyFill="1">
      <alignment vertical="center"/>
    </xf>
    <xf numFmtId="0" fontId="16" fillId="0" borderId="0" xfId="0" applyFont="1">
      <alignment vertical="center"/>
    </xf>
    <xf numFmtId="0" fontId="2" fillId="0" borderId="5" xfId="0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9" fillId="0" borderId="1" xfId="0" applyFont="1" applyBorder="1" applyAlignment="1">
      <alignment horizontal="center"/>
    </xf>
    <xf numFmtId="0" fontId="19" fillId="0" borderId="5" xfId="0" applyFont="1" applyBorder="1" applyAlignment="1"/>
    <xf numFmtId="177" fontId="20" fillId="0" borderId="1" xfId="3" applyNumberFormat="1" applyFont="1" applyBorder="1" applyAlignment="1">
      <alignment horizontal="center" vertical="center" shrinkToFit="1"/>
    </xf>
    <xf numFmtId="0" fontId="18" fillId="0" borderId="1" xfId="3" applyFont="1" applyBorder="1">
      <alignment vertical="center"/>
    </xf>
    <xf numFmtId="0" fontId="18" fillId="0" borderId="1" xfId="3" applyFont="1" applyBorder="1" applyAlignment="1">
      <alignment vertical="center" shrinkToFit="1"/>
    </xf>
    <xf numFmtId="0" fontId="19" fillId="0" borderId="1" xfId="0" applyFont="1" applyBorder="1">
      <alignment vertical="center"/>
    </xf>
    <xf numFmtId="0" fontId="7" fillId="0" borderId="0" xfId="1" applyAlignment="1">
      <alignment horizontal="left" vertical="center" wrapText="1" indent="1"/>
    </xf>
    <xf numFmtId="0" fontId="18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5" fillId="0" borderId="4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right" vertical="center" shrinkToFit="1"/>
    </xf>
    <xf numFmtId="0" fontId="5" fillId="0" borderId="2" xfId="0" applyFont="1" applyBorder="1" applyAlignment="1">
      <alignment horizontal="right" vertical="center" shrinkToFit="1"/>
    </xf>
    <xf numFmtId="0" fontId="12" fillId="0" borderId="2" xfId="0" applyFont="1" applyBorder="1" applyAlignment="1">
      <alignment horizontal="right" vertical="center" shrinkToFit="1"/>
    </xf>
    <xf numFmtId="0" fontId="5" fillId="0" borderId="5" xfId="0" applyFont="1" applyBorder="1" applyAlignment="1">
      <alignment horizontal="right" vertical="center" shrinkToFit="1"/>
    </xf>
    <xf numFmtId="0" fontId="11" fillId="0" borderId="3" xfId="0" applyFont="1" applyBorder="1" applyAlignment="1">
      <alignment horizontal="center" vertical="center" shrinkToFit="1"/>
    </xf>
    <xf numFmtId="0" fontId="9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left" vertical="center" shrinkToFit="1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</cellXfs>
  <cellStyles count="6">
    <cellStyle name="Hyperlink" xfId="4" xr:uid="{00000000-000B-0000-0000-000008000000}"/>
    <cellStyle name="ハイパーリンク" xfId="1" builtinId="8"/>
    <cellStyle name="標準" xfId="0" builtinId="0"/>
    <cellStyle name="標準 2" xfId="2" xr:uid="{1EB39704-1507-4ABF-9D6E-7CD463E1A2BB}"/>
    <cellStyle name="標準 2 2" xfId="5" xr:uid="{6FCF05F8-AC3D-1248-8FD2-C931106ECD9B}"/>
    <cellStyle name="標準 3" xfId="3" xr:uid="{2526AF92-7D47-8C40-B33D-C601A0102EE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165100</xdr:rowOff>
    </xdr:from>
    <xdr:to>
      <xdr:col>11</xdr:col>
      <xdr:colOff>76200</xdr:colOff>
      <xdr:row>20</xdr:row>
      <xdr:rowOff>317500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5DF8F9-C24A-4A8B-A74A-5287EADE929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65500"/>
          <a:ext cx="7340600" cy="47244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622300</xdr:colOff>
      <xdr:row>8</xdr:row>
      <xdr:rowOff>177800</xdr:rowOff>
    </xdr:from>
    <xdr:to>
      <xdr:col>23</xdr:col>
      <xdr:colOff>12700</xdr:colOff>
      <xdr:row>20</xdr:row>
      <xdr:rowOff>330200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34F9AB-DB4B-45F5-82D9-C1DCB7FF1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3378200"/>
          <a:ext cx="7340600" cy="4724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177800</xdr:rowOff>
    </xdr:from>
    <xdr:to>
      <xdr:col>18</xdr:col>
      <xdr:colOff>57150</xdr:colOff>
      <xdr:row>20</xdr:row>
      <xdr:rowOff>330200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8A78C0-CB24-4183-98CC-98B9FAA05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1775" y="3368675"/>
          <a:ext cx="7305675" cy="4724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165100</xdr:rowOff>
    </xdr:from>
    <xdr:to>
      <xdr:col>11</xdr:col>
      <xdr:colOff>76200</xdr:colOff>
      <xdr:row>20</xdr:row>
      <xdr:rowOff>317500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582E1B-27D7-42F7-98F5-164624F36FA9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55975"/>
          <a:ext cx="7305675" cy="47244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391160</xdr:colOff>
      <xdr:row>16</xdr:row>
      <xdr:rowOff>0</xdr:rowOff>
    </xdr:from>
    <xdr:to>
      <xdr:col>8</xdr:col>
      <xdr:colOff>391160</xdr:colOff>
      <xdr:row>22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1F9A18C1-464C-4DDD-8A2D-3A99C0330C0B}"/>
            </a:ext>
          </a:extLst>
        </xdr:cNvPr>
        <xdr:cNvCxnSpPr/>
      </xdr:nvCxnSpPr>
      <xdr:spPr>
        <a:xfrm>
          <a:off x="5702300" y="7178040"/>
          <a:ext cx="0" cy="27990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391160</xdr:colOff>
      <xdr:row>16</xdr:row>
      <xdr:rowOff>0</xdr:rowOff>
    </xdr:from>
    <xdr:to>
      <xdr:col>17</xdr:col>
      <xdr:colOff>391160</xdr:colOff>
      <xdr:row>22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C3D29249-9D27-4150-A476-7DB71B736C96}"/>
            </a:ext>
          </a:extLst>
        </xdr:cNvPr>
        <xdr:cNvCxnSpPr/>
      </xdr:nvCxnSpPr>
      <xdr:spPr>
        <a:xfrm>
          <a:off x="13040360" y="7178040"/>
          <a:ext cx="0" cy="279908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22860</xdr:rowOff>
    </xdr:from>
    <xdr:to>
      <xdr:col>16</xdr:col>
      <xdr:colOff>7620</xdr:colOff>
      <xdr:row>21</xdr:row>
      <xdr:rowOff>7620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7DBE7E55-009D-4C2A-AA0C-3489CBC0E200}"/>
            </a:ext>
          </a:extLst>
        </xdr:cNvPr>
        <xdr:cNvCxnSpPr/>
      </xdr:nvCxnSpPr>
      <xdr:spPr>
        <a:xfrm flipH="1">
          <a:off x="11833860" y="7772400"/>
          <a:ext cx="7620" cy="16306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</xdr:colOff>
      <xdr:row>16</xdr:row>
      <xdr:rowOff>0</xdr:rowOff>
    </xdr:from>
    <xdr:to>
      <xdr:col>13</xdr:col>
      <xdr:colOff>15240</xdr:colOff>
      <xdr:row>21</xdr:row>
      <xdr:rowOff>558800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FD8DA1D-8D17-4909-8085-89809B78138C}"/>
            </a:ext>
          </a:extLst>
        </xdr:cNvPr>
        <xdr:cNvCxnSpPr/>
      </xdr:nvCxnSpPr>
      <xdr:spPr>
        <a:xfrm>
          <a:off x="9403080" y="7178040"/>
          <a:ext cx="0" cy="27762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396240</xdr:colOff>
      <xdr:row>17</xdr:row>
      <xdr:rowOff>7620</xdr:rowOff>
    </xdr:from>
    <xdr:to>
      <xdr:col>14</xdr:col>
      <xdr:colOff>396240</xdr:colOff>
      <xdr:row>20</xdr:row>
      <xdr:rowOff>548640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C02F3AE-84A7-46BA-96F0-3A94AD38A5F3}"/>
            </a:ext>
          </a:extLst>
        </xdr:cNvPr>
        <xdr:cNvCxnSpPr/>
      </xdr:nvCxnSpPr>
      <xdr:spPr>
        <a:xfrm>
          <a:off x="10599420" y="7757160"/>
          <a:ext cx="0" cy="161544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386080</xdr:colOff>
      <xdr:row>17</xdr:row>
      <xdr:rowOff>7620</xdr:rowOff>
    </xdr:from>
    <xdr:to>
      <xdr:col>11</xdr:col>
      <xdr:colOff>396240</xdr:colOff>
      <xdr:row>20</xdr:row>
      <xdr:rowOff>558800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A379110E-7F30-46CB-8D82-64C5ECF2A315}"/>
            </a:ext>
          </a:extLst>
        </xdr:cNvPr>
        <xdr:cNvCxnSpPr/>
      </xdr:nvCxnSpPr>
      <xdr:spPr>
        <a:xfrm flipH="1">
          <a:off x="8143240" y="7757160"/>
          <a:ext cx="10160" cy="16256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16</xdr:row>
      <xdr:rowOff>556260</xdr:rowOff>
    </xdr:from>
    <xdr:to>
      <xdr:col>10</xdr:col>
      <xdr:colOff>20320</xdr:colOff>
      <xdr:row>21</xdr:row>
      <xdr:rowOff>60960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3EB85BBE-D3CB-4B9E-A47B-FD3665A15F18}"/>
            </a:ext>
          </a:extLst>
        </xdr:cNvPr>
        <xdr:cNvCxnSpPr/>
      </xdr:nvCxnSpPr>
      <xdr:spPr>
        <a:xfrm>
          <a:off x="6949440" y="7734300"/>
          <a:ext cx="12700" cy="17221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800100</xdr:colOff>
      <xdr:row>17</xdr:row>
      <xdr:rowOff>7620</xdr:rowOff>
    </xdr:from>
    <xdr:to>
      <xdr:col>7</xdr:col>
      <xdr:colOff>0</xdr:colOff>
      <xdr:row>21</xdr:row>
      <xdr:rowOff>15240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575EFDD3-642A-44B7-B6E7-710D191E8781}"/>
            </a:ext>
          </a:extLst>
        </xdr:cNvPr>
        <xdr:cNvCxnSpPr/>
      </xdr:nvCxnSpPr>
      <xdr:spPr>
        <a:xfrm flipH="1">
          <a:off x="4480560" y="7757160"/>
          <a:ext cx="15240" cy="165354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355600</xdr:colOff>
      <xdr:row>17</xdr:row>
      <xdr:rowOff>7620</xdr:rowOff>
    </xdr:from>
    <xdr:to>
      <xdr:col>5</xdr:col>
      <xdr:colOff>365760</xdr:colOff>
      <xdr:row>21</xdr:row>
      <xdr:rowOff>20320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3A4B35CB-3CC0-48B4-932D-39D19FDD1263}"/>
            </a:ext>
          </a:extLst>
        </xdr:cNvPr>
        <xdr:cNvCxnSpPr/>
      </xdr:nvCxnSpPr>
      <xdr:spPr>
        <a:xfrm flipH="1">
          <a:off x="3220720" y="7757160"/>
          <a:ext cx="10160" cy="16586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lb.com/player/francisco-alvarez-682626" TargetMode="External"/><Relationship Id="rId13" Type="http://schemas.openxmlformats.org/officeDocument/2006/relationships/hyperlink" Target="https://www.mlb.com/player/alex-bregman-608324" TargetMode="External"/><Relationship Id="rId18" Type="http://schemas.openxmlformats.org/officeDocument/2006/relationships/hyperlink" Target="https://www.mlb.com/player/carlos-narvaez-665966" TargetMode="External"/><Relationship Id="rId3" Type="http://schemas.openxmlformats.org/officeDocument/2006/relationships/hyperlink" Target="https://www.mlb.com/player/juan-soto-665742" TargetMode="External"/><Relationship Id="rId7" Type="http://schemas.openxmlformats.org/officeDocument/2006/relationships/hyperlink" Target="https://www.mlb.com/player/brett-baty-683146" TargetMode="External"/><Relationship Id="rId12" Type="http://schemas.openxmlformats.org/officeDocument/2006/relationships/hyperlink" Target="https://www.mlb.com/player/rafael-devers-646240" TargetMode="External"/><Relationship Id="rId17" Type="http://schemas.openxmlformats.org/officeDocument/2006/relationships/hyperlink" Target="https://www.mlb.com/player/david-hamilton-666152" TargetMode="External"/><Relationship Id="rId2" Type="http://schemas.openxmlformats.org/officeDocument/2006/relationships/hyperlink" Target="https://www.mlb.com/player/francisco-lindor-596019" TargetMode="External"/><Relationship Id="rId16" Type="http://schemas.openxmlformats.org/officeDocument/2006/relationships/hyperlink" Target="https://www.mlb.com/player/nick-sogard-686765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www.mlb.jp/playerlist/" TargetMode="External"/><Relationship Id="rId6" Type="http://schemas.openxmlformats.org/officeDocument/2006/relationships/hyperlink" Target="https://www.mlb.com/player/mark-vientos-668901" TargetMode="External"/><Relationship Id="rId11" Type="http://schemas.openxmlformats.org/officeDocument/2006/relationships/hyperlink" Target="https://www.mlb.com/player/jarren-duran-680776" TargetMode="External"/><Relationship Id="rId5" Type="http://schemas.openxmlformats.org/officeDocument/2006/relationships/hyperlink" Target="https://www.mlb.com/player/brandon-nimmo-607043" TargetMode="External"/><Relationship Id="rId15" Type="http://schemas.openxmlformats.org/officeDocument/2006/relationships/hyperlink" Target="https://www.mlb.com/player/trevor-story-596115" TargetMode="External"/><Relationship Id="rId10" Type="http://schemas.openxmlformats.org/officeDocument/2006/relationships/hyperlink" Target="https://www.mlb.com/player/tyrone-taylor-621438" TargetMode="External"/><Relationship Id="rId19" Type="http://schemas.openxmlformats.org/officeDocument/2006/relationships/hyperlink" Target="https://www.mlb.com/player/ceddanne-rafaela-678882" TargetMode="External"/><Relationship Id="rId4" Type="http://schemas.openxmlformats.org/officeDocument/2006/relationships/hyperlink" Target="https://www.mlb.com/player/pete-alonso-624413" TargetMode="External"/><Relationship Id="rId9" Type="http://schemas.openxmlformats.org/officeDocument/2006/relationships/hyperlink" Target="https://www.mlb.com/player/jeff-mcneil-643446" TargetMode="External"/><Relationship Id="rId14" Type="http://schemas.openxmlformats.org/officeDocument/2006/relationships/hyperlink" Target="https://www.mlb.com/player/wilyer-abreu-6778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AD98-4A13-49EF-9B81-C9AE4D9D074F}">
  <sheetPr>
    <pageSetUpPr fitToPage="1"/>
  </sheetPr>
  <dimension ref="B1:P36"/>
  <sheetViews>
    <sheetView tabSelected="1" zoomScale="90" zoomScaleNormal="90" workbookViewId="0">
      <selection activeCell="J19" sqref="J19"/>
    </sheetView>
  </sheetViews>
  <sheetFormatPr baseColWidth="10" defaultColWidth="9" defaultRowHeight="27"/>
  <cols>
    <col min="1" max="1" width="7.5" style="3" customWidth="1"/>
    <col min="2" max="2" width="7.5" style="1" customWidth="1"/>
    <col min="3" max="3" width="7.6640625" style="1" customWidth="1"/>
    <col min="4" max="4" width="7.5" style="1" customWidth="1"/>
    <col min="5" max="5" width="40.5" style="3" customWidth="1"/>
    <col min="6" max="6" width="7.5" style="1" customWidth="1"/>
    <col min="7" max="7" width="5.6640625" style="3" customWidth="1"/>
    <col min="8" max="8" width="9" style="3"/>
    <col min="9" max="9" width="7.6640625" style="3" customWidth="1"/>
    <col min="10" max="10" width="9" style="1"/>
    <col min="11" max="11" width="40.5" style="3" customWidth="1"/>
    <col min="12" max="12" width="7.5" style="1" customWidth="1"/>
    <col min="13" max="13" width="9" style="3"/>
    <col min="14" max="14" width="3.5" style="7" customWidth="1"/>
    <col min="15" max="15" width="27.33203125" style="3" customWidth="1"/>
    <col min="16" max="16" width="26.83203125" style="3" customWidth="1"/>
    <col min="17" max="16384" width="9" style="3"/>
  </cols>
  <sheetData>
    <row r="1" spans="2:16" ht="29.5" customHeight="1">
      <c r="B1" s="97" t="s">
        <v>85</v>
      </c>
      <c r="C1" s="97"/>
      <c r="D1" s="97"/>
      <c r="E1" s="97"/>
      <c r="F1" s="97"/>
      <c r="G1" s="97"/>
      <c r="H1" s="97"/>
      <c r="I1" s="97"/>
      <c r="J1" s="97"/>
      <c r="K1" s="97"/>
      <c r="L1" s="97"/>
      <c r="O1" s="100" t="s">
        <v>0</v>
      </c>
      <c r="P1" s="100"/>
    </row>
    <row r="2" spans="2:16" ht="44.25" customHeight="1">
      <c r="B2" s="94" t="s">
        <v>87</v>
      </c>
      <c r="C2" s="94"/>
      <c r="D2" s="94"/>
      <c r="E2" s="94"/>
      <c r="F2" s="94"/>
      <c r="G2" s="94"/>
      <c r="H2" s="94"/>
      <c r="I2" s="94"/>
      <c r="J2" s="94"/>
      <c r="K2" s="94"/>
      <c r="L2" s="94"/>
      <c r="O2" s="98" t="s">
        <v>1</v>
      </c>
      <c r="P2" s="99"/>
    </row>
    <row r="3" spans="2:16" ht="30" customHeight="1">
      <c r="B3" s="92" t="s">
        <v>81</v>
      </c>
      <c r="C3" s="92"/>
      <c r="D3" s="92"/>
      <c r="E3" s="93"/>
      <c r="F3" s="92"/>
      <c r="H3" s="92" t="s">
        <v>82</v>
      </c>
      <c r="I3" s="92"/>
      <c r="J3" s="92"/>
      <c r="K3" s="92"/>
      <c r="L3" s="92"/>
    </row>
    <row r="4" spans="2:16" ht="35.25" customHeight="1">
      <c r="B4" s="20"/>
      <c r="C4" s="20" t="s">
        <v>2</v>
      </c>
      <c r="D4" s="91">
        <v>45</v>
      </c>
      <c r="E4" s="90" t="s">
        <v>84</v>
      </c>
      <c r="F4" s="78" t="s">
        <v>86</v>
      </c>
      <c r="H4" s="20"/>
      <c r="I4" s="20" t="s">
        <v>2</v>
      </c>
      <c r="J4" s="91">
        <v>98</v>
      </c>
      <c r="K4" s="90" t="s">
        <v>83</v>
      </c>
      <c r="L4" s="20" t="s">
        <v>3</v>
      </c>
      <c r="O4" s="95" t="s">
        <v>4</v>
      </c>
      <c r="P4" s="96"/>
    </row>
    <row r="5" spans="2:16" ht="21" customHeight="1">
      <c r="B5" s="2"/>
      <c r="C5" s="2"/>
      <c r="D5" s="74"/>
      <c r="E5" s="74"/>
      <c r="H5" s="2"/>
      <c r="I5" s="2"/>
      <c r="J5" s="74"/>
      <c r="K5" s="77"/>
      <c r="N5" s="37"/>
      <c r="O5" s="1"/>
      <c r="P5"/>
    </row>
    <row r="6" spans="2:16" ht="40" customHeight="1">
      <c r="B6" s="20">
        <v>1</v>
      </c>
      <c r="C6" s="20" t="str">
        <f>RIGHT(O6, LEN(O6)-SEARCH(")",O6)-1)</f>
        <v>SS</v>
      </c>
      <c r="D6" s="79"/>
      <c r="E6" s="80"/>
      <c r="F6" s="20" t="str">
        <f>MID(O6,SEARCH("(",O6)+1,SEARCH(")",O6)-SEARCH("(",O6)-1)</f>
        <v>S</v>
      </c>
      <c r="H6" s="20">
        <v>1</v>
      </c>
      <c r="I6" s="20" t="str">
        <f>RIGHT(P6, LEN(P6)-SEARCH(")",P6)-1)</f>
        <v>LF</v>
      </c>
      <c r="J6" s="79"/>
      <c r="K6" s="80"/>
      <c r="L6" s="20" t="str">
        <f>MID(P6,SEARCH("(",P6)+1,SEARCH(")",P6)-SEARCH("(",P6)-1)</f>
        <v>L</v>
      </c>
      <c r="N6" s="76"/>
      <c r="O6" s="89" t="s">
        <v>63</v>
      </c>
      <c r="P6" s="89" t="s">
        <v>72</v>
      </c>
    </row>
    <row r="7" spans="2:16" ht="40" customHeight="1">
      <c r="B7" s="20">
        <v>2</v>
      </c>
      <c r="C7" s="20" t="str">
        <f>RIGHT(O7, LEN(O7)-SEARCH(")",O7)-1)</f>
        <v>RF</v>
      </c>
      <c r="D7" s="79"/>
      <c r="E7" s="80"/>
      <c r="F7" s="20" t="str">
        <f>MID(O7,SEARCH("(",O7)+1,SEARCH(")",O7)-SEARCH("(",O7)-1)</f>
        <v>L</v>
      </c>
      <c r="H7" s="20">
        <v>2</v>
      </c>
      <c r="I7" s="20" t="str">
        <f t="shared" ref="I7:I14" si="0">RIGHT(P7, LEN(P7)-SEARCH(")",P7)-1)</f>
        <v>DH</v>
      </c>
      <c r="J7" s="79"/>
      <c r="K7" s="80"/>
      <c r="L7" s="20" t="str">
        <f>MID(P7,SEARCH("(",P7)+1,SEARCH(")",P7)-SEARCH("(",P7)-1)</f>
        <v>L</v>
      </c>
      <c r="N7" s="76"/>
      <c r="O7" s="89" t="s">
        <v>64</v>
      </c>
      <c r="P7" s="89" t="s">
        <v>73</v>
      </c>
    </row>
    <row r="8" spans="2:16" ht="40" customHeight="1">
      <c r="B8" s="20">
        <v>3</v>
      </c>
      <c r="C8" s="20" t="str">
        <f t="shared" ref="C8:C14" si="1">RIGHT(O8, LEN(O8)-SEARCH(")",O8)-1)</f>
        <v>1B</v>
      </c>
      <c r="D8" s="79"/>
      <c r="E8" s="80"/>
      <c r="F8" s="20" t="str">
        <f t="shared" ref="F8:F14" si="2">MID(O8,SEARCH("(",O8)+1,SEARCH(")",O8)-SEARCH("(",O8)-1)</f>
        <v>R</v>
      </c>
      <c r="H8" s="20">
        <v>3</v>
      </c>
      <c r="I8" s="20" t="str">
        <f t="shared" si="0"/>
        <v>3B</v>
      </c>
      <c r="J8" s="79"/>
      <c r="K8" s="80"/>
      <c r="L8" s="20" t="str">
        <f t="shared" ref="L8:L14" si="3">MID(P8,SEARCH("(",P8)+1,SEARCH(")",P8)-SEARCH("(",P8)-1)</f>
        <v>R</v>
      </c>
      <c r="N8" s="76"/>
      <c r="O8" s="89" t="s">
        <v>65</v>
      </c>
      <c r="P8" s="89" t="s">
        <v>74</v>
      </c>
    </row>
    <row r="9" spans="2:16" ht="40" customHeight="1">
      <c r="B9" s="20">
        <v>4</v>
      </c>
      <c r="C9" s="20" t="str">
        <f t="shared" si="1"/>
        <v>LF</v>
      </c>
      <c r="D9" s="79"/>
      <c r="E9" s="80"/>
      <c r="F9" s="20" t="str">
        <f t="shared" si="2"/>
        <v>L</v>
      </c>
      <c r="H9" s="20">
        <v>4</v>
      </c>
      <c r="I9" s="20" t="str">
        <f t="shared" si="0"/>
        <v>RF</v>
      </c>
      <c r="J9" s="79"/>
      <c r="K9" s="80"/>
      <c r="L9" s="20" t="str">
        <f t="shared" si="3"/>
        <v>L</v>
      </c>
      <c r="N9" s="76"/>
      <c r="O9" s="89" t="s">
        <v>66</v>
      </c>
      <c r="P9" s="89" t="s">
        <v>75</v>
      </c>
    </row>
    <row r="10" spans="2:16" ht="40" customHeight="1">
      <c r="B10" s="20">
        <v>5</v>
      </c>
      <c r="C10" s="20" t="str">
        <f t="shared" si="1"/>
        <v>DH</v>
      </c>
      <c r="D10" s="79"/>
      <c r="E10" s="80"/>
      <c r="F10" s="20" t="str">
        <f t="shared" si="2"/>
        <v>R</v>
      </c>
      <c r="H10" s="20">
        <v>5</v>
      </c>
      <c r="I10" s="20" t="str">
        <f t="shared" si="0"/>
        <v>SS</v>
      </c>
      <c r="J10" s="79"/>
      <c r="K10" s="80"/>
      <c r="L10" s="20" t="str">
        <f t="shared" si="3"/>
        <v>R</v>
      </c>
      <c r="N10" s="76"/>
      <c r="O10" s="89" t="s">
        <v>67</v>
      </c>
      <c r="P10" s="89" t="s">
        <v>76</v>
      </c>
    </row>
    <row r="11" spans="2:16" ht="40" customHeight="1">
      <c r="B11" s="20">
        <v>6</v>
      </c>
      <c r="C11" s="20" t="str">
        <f t="shared" si="1"/>
        <v>3B</v>
      </c>
      <c r="D11" s="79"/>
      <c r="E11" s="80"/>
      <c r="F11" s="20" t="str">
        <f t="shared" si="2"/>
        <v>L</v>
      </c>
      <c r="H11" s="20">
        <v>6</v>
      </c>
      <c r="I11" s="20" t="str">
        <f t="shared" si="0"/>
        <v>1B</v>
      </c>
      <c r="J11" s="79"/>
      <c r="K11" s="80"/>
      <c r="L11" s="20" t="str">
        <f t="shared" si="3"/>
        <v>S</v>
      </c>
      <c r="N11" s="76"/>
      <c r="O11" s="89" t="s">
        <v>68</v>
      </c>
      <c r="P11" s="89" t="s">
        <v>77</v>
      </c>
    </row>
    <row r="12" spans="2:16" ht="40" customHeight="1">
      <c r="B12" s="20">
        <v>7</v>
      </c>
      <c r="C12" s="20" t="str">
        <f t="shared" si="1"/>
        <v>C</v>
      </c>
      <c r="D12" s="79"/>
      <c r="E12" s="80"/>
      <c r="F12" s="20" t="str">
        <f t="shared" si="2"/>
        <v>R</v>
      </c>
      <c r="H12" s="20">
        <v>7</v>
      </c>
      <c r="I12" s="20" t="str">
        <f t="shared" si="0"/>
        <v>2B</v>
      </c>
      <c r="J12" s="79"/>
      <c r="K12" s="80"/>
      <c r="L12" s="20" t="str">
        <f t="shared" si="3"/>
        <v>L</v>
      </c>
      <c r="N12" s="76"/>
      <c r="O12" s="89" t="s">
        <v>69</v>
      </c>
      <c r="P12" s="89" t="s">
        <v>78</v>
      </c>
    </row>
    <row r="13" spans="2:16" ht="40" customHeight="1">
      <c r="B13" s="20">
        <v>8</v>
      </c>
      <c r="C13" s="20" t="str">
        <f t="shared" si="1"/>
        <v>2B</v>
      </c>
      <c r="D13" s="79"/>
      <c r="E13" s="80"/>
      <c r="F13" s="20" t="str">
        <f t="shared" si="2"/>
        <v>L</v>
      </c>
      <c r="H13" s="20">
        <v>8</v>
      </c>
      <c r="I13" s="20" t="str">
        <f t="shared" si="0"/>
        <v>C</v>
      </c>
      <c r="J13" s="79"/>
      <c r="K13" s="80"/>
      <c r="L13" s="20" t="str">
        <f t="shared" si="3"/>
        <v>R</v>
      </c>
      <c r="N13" s="76"/>
      <c r="O13" s="89" t="s">
        <v>70</v>
      </c>
      <c r="P13" s="89" t="s">
        <v>79</v>
      </c>
    </row>
    <row r="14" spans="2:16" ht="40" customHeight="1">
      <c r="B14" s="20">
        <v>9</v>
      </c>
      <c r="C14" s="20" t="str">
        <f t="shared" si="1"/>
        <v>CF</v>
      </c>
      <c r="D14" s="79"/>
      <c r="E14" s="80"/>
      <c r="F14" s="20" t="str">
        <f t="shared" si="2"/>
        <v>R</v>
      </c>
      <c r="H14" s="20">
        <v>9</v>
      </c>
      <c r="I14" s="20" t="str">
        <f t="shared" si="0"/>
        <v>CF</v>
      </c>
      <c r="J14" s="79"/>
      <c r="K14" s="80"/>
      <c r="L14" s="20" t="str">
        <f t="shared" si="3"/>
        <v>R</v>
      </c>
      <c r="N14" s="76"/>
      <c r="O14" s="89" t="s">
        <v>71</v>
      </c>
      <c r="P14" s="89" t="s">
        <v>80</v>
      </c>
    </row>
    <row r="15" spans="2:16" ht="30">
      <c r="N15" s="37"/>
    </row>
    <row r="16" spans="2:16" ht="30">
      <c r="N16" s="37"/>
    </row>
    <row r="17" spans="4:14" ht="30">
      <c r="N17" s="37"/>
    </row>
    <row r="18" spans="4:14" ht="30">
      <c r="N18" s="37"/>
    </row>
    <row r="19" spans="4:14" ht="30">
      <c r="D19" s="79"/>
      <c r="E19" s="80"/>
      <c r="F19" s="81"/>
      <c r="G19" s="82"/>
      <c r="H19" s="82"/>
      <c r="I19" s="82"/>
      <c r="J19" s="79"/>
      <c r="K19" s="80"/>
      <c r="N19" s="37"/>
    </row>
    <row r="20" spans="4:14">
      <c r="D20" s="79"/>
      <c r="E20" s="80"/>
      <c r="F20" s="81"/>
      <c r="G20" s="82"/>
      <c r="H20" s="82"/>
      <c r="I20" s="82"/>
      <c r="J20" s="79"/>
      <c r="K20" s="80"/>
    </row>
    <row r="21" spans="4:14">
      <c r="D21" s="79"/>
      <c r="E21" s="80"/>
      <c r="F21" s="81"/>
      <c r="G21" s="82"/>
      <c r="H21" s="82"/>
      <c r="I21" s="82"/>
      <c r="J21" s="79"/>
      <c r="K21" s="80"/>
    </row>
    <row r="22" spans="4:14">
      <c r="D22" s="79"/>
      <c r="E22" s="80"/>
      <c r="F22" s="81"/>
      <c r="G22" s="82"/>
      <c r="H22" s="82"/>
      <c r="I22" s="82"/>
      <c r="J22" s="79"/>
      <c r="K22" s="80"/>
    </row>
    <row r="23" spans="4:14">
      <c r="D23" s="79"/>
      <c r="E23" s="80"/>
      <c r="F23" s="81"/>
      <c r="G23" s="82"/>
      <c r="H23" s="82"/>
      <c r="I23" s="82"/>
      <c r="J23" s="79"/>
      <c r="K23" s="80"/>
    </row>
    <row r="24" spans="4:14">
      <c r="D24" s="79"/>
      <c r="E24" s="80"/>
      <c r="F24" s="81"/>
      <c r="G24" s="82"/>
      <c r="H24" s="82"/>
      <c r="I24" s="82"/>
      <c r="J24" s="79"/>
      <c r="K24" s="80"/>
    </row>
    <row r="25" spans="4:14">
      <c r="D25" s="79"/>
      <c r="E25" s="80"/>
      <c r="F25" s="81"/>
      <c r="G25" s="82"/>
      <c r="H25" s="82"/>
      <c r="I25" s="82"/>
      <c r="J25" s="79"/>
      <c r="K25" s="80"/>
    </row>
    <row r="26" spans="4:14">
      <c r="D26" s="79"/>
      <c r="E26" s="80"/>
      <c r="F26" s="81"/>
      <c r="G26" s="82"/>
      <c r="H26" s="82"/>
      <c r="I26" s="82"/>
      <c r="J26" s="79"/>
      <c r="K26" s="80"/>
    </row>
    <row r="27" spans="4:14">
      <c r="D27" s="79"/>
      <c r="E27" s="80"/>
      <c r="F27" s="81"/>
      <c r="G27" s="82"/>
      <c r="H27" s="82"/>
      <c r="I27" s="82"/>
      <c r="J27" s="79"/>
      <c r="K27" s="80"/>
    </row>
    <row r="28" spans="4:14">
      <c r="D28" s="79"/>
      <c r="E28" s="80"/>
      <c r="F28" s="81"/>
      <c r="G28" s="82"/>
      <c r="H28" s="82"/>
      <c r="I28" s="82"/>
      <c r="J28" s="79"/>
      <c r="K28" s="80"/>
    </row>
    <row r="29" spans="4:14">
      <c r="D29" s="79"/>
      <c r="E29" s="80"/>
      <c r="F29" s="81"/>
      <c r="G29" s="82"/>
      <c r="H29" s="82"/>
      <c r="I29" s="82"/>
      <c r="J29" s="79"/>
      <c r="K29" s="80"/>
    </row>
    <row r="30" spans="4:14">
      <c r="D30" s="79"/>
      <c r="E30" s="80"/>
      <c r="F30" s="81"/>
      <c r="G30" s="82"/>
      <c r="H30" s="82"/>
      <c r="I30" s="82"/>
      <c r="J30" s="79"/>
      <c r="K30" s="80"/>
    </row>
    <row r="31" spans="4:14">
      <c r="D31" s="79"/>
      <c r="E31" s="80"/>
      <c r="F31" s="81"/>
      <c r="G31" s="82"/>
      <c r="H31" s="82"/>
      <c r="I31" s="82"/>
      <c r="J31" s="79"/>
      <c r="K31" s="80"/>
    </row>
    <row r="32" spans="4:14">
      <c r="D32" s="79"/>
      <c r="E32" s="80"/>
      <c r="F32" s="81"/>
      <c r="G32" s="82"/>
      <c r="H32" s="82"/>
      <c r="I32" s="82"/>
      <c r="J32" s="83"/>
      <c r="K32" s="84"/>
    </row>
    <row r="33" spans="4:11">
      <c r="D33" s="79"/>
      <c r="E33" s="80"/>
      <c r="F33" s="81"/>
      <c r="G33" s="82"/>
      <c r="H33" s="82"/>
      <c r="I33" s="82"/>
      <c r="J33" s="85"/>
      <c r="K33" s="86"/>
    </row>
    <row r="34" spans="4:11">
      <c r="D34" s="79"/>
      <c r="E34" s="80"/>
      <c r="F34" s="81"/>
      <c r="G34" s="82"/>
      <c r="H34" s="82"/>
      <c r="I34" s="82"/>
      <c r="J34" s="85"/>
      <c r="K34" s="87"/>
    </row>
    <row r="35" spans="4:11">
      <c r="D35" s="79"/>
      <c r="E35" s="80"/>
      <c r="F35" s="81"/>
      <c r="G35" s="82"/>
      <c r="H35" s="82"/>
      <c r="I35" s="82"/>
      <c r="J35" s="85"/>
      <c r="K35" s="88"/>
    </row>
    <row r="36" spans="4:11">
      <c r="D36" s="79"/>
      <c r="E36" s="80"/>
      <c r="F36" s="81"/>
      <c r="G36" s="82"/>
      <c r="H36" s="82"/>
      <c r="I36" s="82"/>
      <c r="J36" s="85"/>
      <c r="K36" s="87"/>
    </row>
  </sheetData>
  <mergeCells count="7">
    <mergeCell ref="H3:L3"/>
    <mergeCell ref="B3:F3"/>
    <mergeCell ref="B2:L2"/>
    <mergeCell ref="O4:P4"/>
    <mergeCell ref="B1:L1"/>
    <mergeCell ref="O2:P2"/>
    <mergeCell ref="O1:P1"/>
  </mergeCells>
  <phoneticPr fontId="1"/>
  <conditionalFormatting sqref="D4">
    <cfRule type="duplicateValues" dxfId="1" priority="1"/>
  </conditionalFormatting>
  <conditionalFormatting sqref="J4">
    <cfRule type="duplicateValues" dxfId="0" priority="2"/>
  </conditionalFormatting>
  <hyperlinks>
    <hyperlink ref="O2" r:id="rId1" xr:uid="{1811FAD1-9E66-49B2-87E1-C623191210E0}"/>
    <hyperlink ref="O6" r:id="rId2" display="https://www.mlb.com/player/francisco-lindor-596019" xr:uid="{46B0FEDA-C870-4EC9-9606-F7F1B2ECA92F}"/>
    <hyperlink ref="O7" r:id="rId3" display="https://www.mlb.com/player/juan-soto-665742" xr:uid="{B80D7A31-DD9E-4E62-B538-F15A327923C1}"/>
    <hyperlink ref="O8" r:id="rId4" display="https://www.mlb.com/player/pete-alonso-624413" xr:uid="{FA06D7EF-AF80-406C-9458-5CF663732E16}"/>
    <hyperlink ref="O9" r:id="rId5" display="https://www.mlb.com/player/brandon-nimmo-607043" xr:uid="{A697B537-DD52-44AE-9E71-9DBEDF2CD778}"/>
    <hyperlink ref="O10" r:id="rId6" display="https://www.mlb.com/player/mark-vientos-668901" xr:uid="{1540C2C0-C76F-4C34-BACB-E86ABBC15A36}"/>
    <hyperlink ref="O11" r:id="rId7" display="https://www.mlb.com/player/brett-baty-683146" xr:uid="{097F0B3B-AC8E-4D32-802E-6C48C01E7214}"/>
    <hyperlink ref="O12" r:id="rId8" display="https://www.mlb.com/player/francisco-alvarez-682626" xr:uid="{8B2067FB-80EE-41E1-A6AB-D0E63345F8DA}"/>
    <hyperlink ref="O13" r:id="rId9" display="https://www.mlb.com/player/jeff-mcneil-643446" xr:uid="{8D448EB2-BC93-4540-98DD-E654F88BFAD4}"/>
    <hyperlink ref="O14" r:id="rId10" display="https://www.mlb.com/player/tyrone-taylor-621438" xr:uid="{B8C15095-8915-4752-B03C-60AC088B2EA8}"/>
    <hyperlink ref="P6" r:id="rId11" display="https://www.mlb.com/player/jarren-duran-680776" xr:uid="{B9851ED6-1E51-40A5-8F4D-EA149F0C4032}"/>
    <hyperlink ref="P7" r:id="rId12" display="https://www.mlb.com/player/rafael-devers-646240" xr:uid="{E9A30F7D-4EEC-41C7-B1A1-9FF8D19B5FD1}"/>
    <hyperlink ref="P8" r:id="rId13" display="https://www.mlb.com/player/alex-bregman-608324" xr:uid="{E59B357C-C999-4ADA-B124-EBD79C3C8DDF}"/>
    <hyperlink ref="P9" r:id="rId14" display="https://www.mlb.com/player/wilyer-abreu-677800" xr:uid="{AA7C1BD7-7503-45DD-AC88-D8E3BD9136C7}"/>
    <hyperlink ref="P10" r:id="rId15" display="https://www.mlb.com/player/trevor-story-596115" xr:uid="{AD6EAD3A-16EA-4490-AD1E-598A04303CA7}"/>
    <hyperlink ref="P11" r:id="rId16" display="https://www.mlb.com/player/nick-sogard-686765" xr:uid="{9CAB3E75-5703-4A8B-A00E-5B284388B25C}"/>
    <hyperlink ref="P12" r:id="rId17" display="https://www.mlb.com/player/david-hamilton-666152" xr:uid="{DED05A64-2D28-4EC7-A334-47796E7D2912}"/>
    <hyperlink ref="P13" r:id="rId18" display="https://www.mlb.com/player/carlos-narvaez-665966" xr:uid="{D5980BE0-48E3-44C2-A751-8D17D28CEC02}"/>
    <hyperlink ref="P14" r:id="rId19" display="https://www.mlb.com/player/ceddanne-rafaela-678882" xr:uid="{B3F28A93-7130-4EA6-B65D-4D3C3254E29F}"/>
  </hyperlinks>
  <pageMargins left="0.7" right="0.7" top="0.75" bottom="0.75" header="0.3" footer="0.3"/>
  <pageSetup paperSize="9" scale="80" orientation="landscape" copies="2" r:id="rId2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BD07AA-DAED-4A46-826D-2842CF6F3D9B}">
          <x14:formula1>
            <xm:f>date!$A$1:$A$30</xm:f>
          </x14:formula1>
          <xm:sqref>B3:F3 H3:L3</xm:sqref>
        </x14:dataValidation>
        <x14:dataValidation type="list" allowBlank="1" showInputMessage="1" showErrorMessage="1" xr:uid="{B65AA277-6922-4BF2-AF60-2D6E726E8FD8}">
          <x14:formula1>
            <xm:f>date!$B$11:$B$13</xm:f>
          </x14:formula1>
          <xm:sqref>F4 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FDD7-9A5A-4EEF-B0D3-B72333038074}">
  <sheetPr>
    <pageSetUpPr fitToPage="1"/>
  </sheetPr>
  <dimension ref="A1:W31"/>
  <sheetViews>
    <sheetView view="pageBreakPreview" zoomScale="50" zoomScaleNormal="75" zoomScaleSheetLayoutView="50" workbookViewId="0">
      <selection activeCell="K30" sqref="K30"/>
    </sheetView>
  </sheetViews>
  <sheetFormatPr baseColWidth="10" defaultColWidth="9" defaultRowHeight="27"/>
  <cols>
    <col min="1" max="1" width="8.5" style="3" customWidth="1"/>
    <col min="2" max="3" width="8.5" style="1" customWidth="1"/>
    <col min="4" max="9" width="8.5" style="3" customWidth="1"/>
    <col min="10" max="12" width="8.5" style="1" customWidth="1"/>
    <col min="13" max="15" width="8.5" style="3" customWidth="1"/>
    <col min="16" max="16" width="8.5" style="7" customWidth="1"/>
    <col min="17" max="21" width="8.5" style="3" customWidth="1"/>
    <col min="22" max="22" width="8.5" style="1" customWidth="1"/>
    <col min="23" max="16384" width="9" style="3"/>
  </cols>
  <sheetData>
    <row r="1" spans="1:23" ht="44.25" customHeight="1">
      <c r="B1" s="97" t="str">
        <f>スタメン!B2</f>
        <v>ペトコ・パーク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3" ht="30" customHeight="1">
      <c r="B2" s="92" t="str">
        <f>スタメン!B3</f>
        <v>ピッツバーグ・パイレーツ</v>
      </c>
      <c r="C2" s="92"/>
      <c r="D2" s="92"/>
      <c r="E2" s="92"/>
      <c r="F2" s="92"/>
      <c r="G2" s="92"/>
      <c r="H2" s="92"/>
      <c r="I2" s="92"/>
      <c r="J2" s="92"/>
      <c r="N2" s="92" t="str">
        <f>スタメン!H3</f>
        <v>サンディエゴ・パドレス</v>
      </c>
      <c r="O2" s="92"/>
      <c r="P2" s="92"/>
      <c r="Q2" s="92"/>
      <c r="R2" s="92"/>
      <c r="S2" s="92"/>
      <c r="T2" s="92"/>
      <c r="U2" s="92"/>
      <c r="V2" s="92"/>
    </row>
    <row r="3" spans="1:23" s="7" customFormat="1">
      <c r="B3" s="8"/>
      <c r="C3" s="8"/>
      <c r="E3" s="5"/>
      <c r="J3" s="8"/>
      <c r="K3" s="5"/>
      <c r="L3" s="8"/>
      <c r="V3" s="8"/>
    </row>
    <row r="4" spans="1:23" s="7" customFormat="1" ht="30">
      <c r="B4" s="8"/>
      <c r="C4" s="8"/>
      <c r="J4" s="8"/>
      <c r="K4" s="8"/>
      <c r="L4" s="8"/>
      <c r="P4" s="37"/>
      <c r="V4" s="8"/>
    </row>
    <row r="5" spans="1:23" s="7" customFormat="1" ht="30" customHeight="1">
      <c r="B5" s="8"/>
      <c r="C5" s="8"/>
      <c r="D5" s="30" t="s">
        <v>5</v>
      </c>
      <c r="E5" s="102" t="str">
        <f ca="1">IF(COUNTIF(スタメン!C4:C14,"CF")=1,IF(ISBLANK(OFFSET(スタメン!D4,MATCH("CF",スタメン!C4:C14,0)-1,0)),"",OFFSET(スタメン!D4,MATCH("CF",スタメン!C4:C14,0)-1,0)),"")</f>
        <v/>
      </c>
      <c r="F5" s="102"/>
      <c r="G5" s="102"/>
      <c r="H5" s="102"/>
      <c r="J5" s="8"/>
      <c r="K5" s="8"/>
      <c r="L5" s="8"/>
      <c r="N5" s="8"/>
      <c r="O5" s="8"/>
      <c r="P5" s="39" t="s">
        <v>5</v>
      </c>
      <c r="Q5" s="108" t="str">
        <f ca="1">IF(COUNTIF(スタメン!I4:I14,"CF")=1,IF(ISBLANK(OFFSET(スタメン!J4,MATCH("CF",スタメン!I4:I14,0)-1,0)),"",OFFSET(スタメン!J4,MATCH("CF",スタメン!I4:I14,0)-1,0)),"")</f>
        <v/>
      </c>
      <c r="R5" s="108"/>
      <c r="S5" s="108"/>
      <c r="T5" s="10"/>
      <c r="V5" s="8"/>
    </row>
    <row r="6" spans="1:23" s="7" customFormat="1" ht="30" customHeight="1">
      <c r="C6" s="11"/>
      <c r="D6" s="25"/>
      <c r="E6" s="106" t="str">
        <f ca="1">IF(COUNTIF(スタメン!C4:C14,"CF")=1,IF(ISBLANK(OFFSET(スタメン!E4,MATCH("CF",スタメン!C4:C14,0)-1,0)),"",OFFSET(スタメン!E4,MATCH("CF",スタメン!C4:C14,0)-1,0)),"")</f>
        <v/>
      </c>
      <c r="F6" s="106"/>
      <c r="G6" s="106"/>
      <c r="H6" s="107"/>
      <c r="P6" s="105" t="str">
        <f ca="1">IF(COUNTIF(スタメン!I4:I14,"CF")=1,IF(ISBLANK(OFFSET(スタメン!K4,MATCH("CF",スタメン!I4:I14,0)-1,0)),"",OFFSET(スタメン!K4,MATCH("CF",スタメン!I4:I14,0)-1,0)),"")</f>
        <v/>
      </c>
      <c r="Q6" s="106"/>
      <c r="R6" s="106"/>
      <c r="S6" s="106"/>
      <c r="T6" s="107"/>
    </row>
    <row r="7" spans="1:23" s="7" customFormat="1" ht="30" customHeight="1">
      <c r="A7" s="21" t="s">
        <v>6</v>
      </c>
      <c r="B7" s="101" t="str">
        <f ca="1">IF(COUNTIF(スタメン!C4:C14,"LF")=1,IF(ISBLANK(OFFSET(スタメン!D4,MATCH("LF",スタメン!C4:C14,0)-1,0)),"",OFFSET(スタメン!D4,MATCH("LF",スタメン!C4:C14,0)-1,0)),"")</f>
        <v/>
      </c>
      <c r="C7" s="101"/>
      <c r="D7" s="101"/>
      <c r="F7" s="8"/>
      <c r="H7" s="21" t="s">
        <v>7</v>
      </c>
      <c r="I7" s="101" t="str">
        <f ca="1">IF(COUNTIF(スタメン!C4:C14,"RF")=1,IF(ISBLANK(OFFSET(スタメン!D4,MATCH("RF",スタメン!C4:C14,0)-1,0)),"",OFFSET(スタメン!D4,MATCH("RF",スタメン!C4:C14,0)-1,0)),"")</f>
        <v/>
      </c>
      <c r="J7" s="101"/>
      <c r="K7" s="101"/>
      <c r="M7" s="23" t="s">
        <v>6</v>
      </c>
      <c r="N7" s="108" t="str">
        <f ca="1">IF(COUNTIF(スタメン!I4:I14,"LF")=1,IF(ISBLANK(OFFSET(スタメン!J4,MATCH("LF",スタメン!I4:I14,0)-1,0)),"",OFFSET(スタメン!J4,MATCH("LF",スタメン!I4:I14,0)-1,0)),"")</f>
        <v/>
      </c>
      <c r="O7" s="108"/>
      <c r="P7" s="118"/>
      <c r="Q7" s="8"/>
      <c r="R7" s="8"/>
      <c r="T7" s="23" t="s">
        <v>7</v>
      </c>
      <c r="U7" s="108" t="str">
        <f ca="1">IF(COUNTIF(スタメン!I4:I14,"RF")=1,IF(ISBLANK(OFFSET(スタメン!J4,MATCH("RF",スタメン!I4:I14,0)-1,0)),"",OFFSET(スタメン!J4,MATCH("RF",スタメン!I4:I14,0)-1,0)),"")</f>
        <v/>
      </c>
      <c r="V7" s="108"/>
      <c r="W7" s="108"/>
    </row>
    <row r="8" spans="1:23" s="7" customFormat="1" ht="30" customHeight="1">
      <c r="A8" s="109" t="str">
        <f ca="1">IF(COUNTIF(スタメン!C4:C14,"LF")=1,IF(ISBLANK(OFFSET(スタメン!E4,MATCH("LF",スタメン!C4:C14,0)-1,0)),"",OFFSET(スタメン!E4,MATCH("LF",スタメン!C4:C14,0)-1,0)),"")</f>
        <v/>
      </c>
      <c r="B8" s="110"/>
      <c r="C8" s="110"/>
      <c r="D8" s="111"/>
      <c r="E8" s="12"/>
      <c r="F8" s="9"/>
      <c r="G8" s="13"/>
      <c r="H8" s="105" t="str">
        <f ca="1">IF(COUNTIF(スタメン!C4:C14,"RF")=1,IF(ISBLANK(OFFSET(スタメン!E4,MATCH("RF",スタメン!C4:C14,0)-1,0)),"",OFFSET(スタメン!E4,MATCH("RF",スタメン!C4:C14,0)-1,0)),"")</f>
        <v/>
      </c>
      <c r="I8" s="106"/>
      <c r="J8" s="106"/>
      <c r="K8" s="107"/>
      <c r="L8" s="14"/>
      <c r="M8" s="105" t="str">
        <f ca="1">IF(COUNTIF(スタメン!I4:I14,"LF")=1,IF(ISBLANK(OFFSET(スタメン!K4,MATCH("LF",スタメン!I4:I14,0)-1,0)),"",OFFSET(スタメン!K4,MATCH("LF",スタメン!I4:I14,0)-1,0)),"")</f>
        <v/>
      </c>
      <c r="N8" s="106"/>
      <c r="O8" s="106"/>
      <c r="P8" s="112"/>
      <c r="Q8" s="16"/>
      <c r="R8" s="9"/>
      <c r="S8" s="13"/>
      <c r="T8" s="105" t="str">
        <f ca="1">IF(COUNTIF(スタメン!I4:I14,"RF")=1,IF(ISBLANK(OFFSET(スタメン!K4,MATCH("RF",スタメン!I4:I14,0)-1,0)),"",OFFSET(スタメン!K4,MATCH("RF",スタメン!I4:I14,0)-1,0)),"")</f>
        <v/>
      </c>
      <c r="U8" s="106"/>
      <c r="V8" s="106"/>
      <c r="W8" s="107"/>
    </row>
    <row r="9" spans="1:23" s="7" customFormat="1" ht="30" customHeight="1">
      <c r="B9" s="8"/>
      <c r="C9" s="8"/>
      <c r="D9" s="9"/>
      <c r="E9" s="9"/>
      <c r="F9" s="9"/>
      <c r="G9" s="9"/>
      <c r="H9" s="9"/>
      <c r="J9" s="8"/>
      <c r="K9" s="8"/>
      <c r="L9" s="8"/>
      <c r="N9" s="8"/>
      <c r="O9" s="8"/>
      <c r="P9" s="38"/>
      <c r="Q9" s="9"/>
      <c r="R9" s="9"/>
      <c r="S9" s="9"/>
      <c r="T9" s="9"/>
      <c r="V9" s="8"/>
      <c r="W9" s="8"/>
    </row>
    <row r="10" spans="1:23" s="7" customFormat="1" ht="30" customHeight="1">
      <c r="B10" s="8"/>
      <c r="C10" s="8"/>
      <c r="D10" s="9"/>
      <c r="E10" s="9"/>
      <c r="F10" s="9"/>
      <c r="G10" s="9"/>
      <c r="H10" s="9"/>
      <c r="J10" s="8"/>
      <c r="K10" s="8"/>
      <c r="L10" s="8"/>
      <c r="N10" s="8"/>
      <c r="O10" s="8"/>
      <c r="P10" s="38"/>
      <c r="Q10" s="9"/>
      <c r="R10" s="9"/>
      <c r="S10" s="9"/>
      <c r="T10" s="9"/>
      <c r="V10" s="8"/>
      <c r="W10" s="8"/>
    </row>
    <row r="11" spans="1:23" s="7" customFormat="1" ht="30" customHeight="1">
      <c r="B11" s="21" t="s">
        <v>8</v>
      </c>
      <c r="C11" s="101" t="str">
        <f ca="1">IF(COUNTIF(スタメン!C4:C14,"SS")=1,IF(ISBLANK(OFFSET(スタメン!D4,MATCH("SS",スタメン!C4:C14,0)-1,0)),"",OFFSET(スタメン!D4,MATCH("SS",スタメン!C4:C14,0)-1,0)),"")</f>
        <v/>
      </c>
      <c r="D11" s="101"/>
      <c r="E11" s="101"/>
      <c r="F11" s="9"/>
      <c r="G11" s="22" t="s">
        <v>9</v>
      </c>
      <c r="H11" s="102" t="str">
        <f ca="1">IF(COUNTIF(スタメン!C4:C14,"2B")=1,IF(ISBLANK(OFFSET(スタメン!D4,MATCH("2B",スタメン!C4:C14,0)-1,0)),"",OFFSET(スタメン!D4,MATCH("2B",スタメン!C4:C14,0)-1,0)),"")</f>
        <v/>
      </c>
      <c r="I11" s="102"/>
      <c r="J11" s="102"/>
      <c r="K11" s="15"/>
      <c r="L11" s="15"/>
      <c r="N11" s="23" t="s">
        <v>8</v>
      </c>
      <c r="O11" s="108" t="str">
        <f ca="1">IF(COUNTIF(スタメン!I4:I14,"SS")=1,IF(ISBLANK(OFFSET(スタメン!J4,MATCH("SS",スタメン!I4:I14,0)-1,0)),"",OFFSET(スタメン!J4,MATCH("SS",スタメン!I4:I14,0)-1,0)),"")</f>
        <v/>
      </c>
      <c r="P11" s="118"/>
      <c r="Q11" s="108"/>
      <c r="R11" s="9"/>
      <c r="S11" s="24" t="s">
        <v>9</v>
      </c>
      <c r="T11" s="113" t="str">
        <f ca="1">IF(COUNTIF(スタメン!I4:I14,"2B")=1,IF(ISBLANK(OFFSET(スタメン!J4,MATCH("2B",スタメン!I4:I14,0)-1,0)),"",OFFSET(スタメン!J4,MATCH("2B",スタメン!I4:I14,0)-1,0)),"")</f>
        <v/>
      </c>
      <c r="U11" s="113"/>
      <c r="V11" s="113"/>
      <c r="W11" s="15"/>
    </row>
    <row r="12" spans="1:23" s="7" customFormat="1" ht="30" customHeight="1">
      <c r="A12" s="13"/>
      <c r="B12" s="114" t="str">
        <f ca="1">IF(COUNTIF(スタメン!C4:C14,"SS")=1,IF(ISBLANK(OFFSET(スタメン!E4,MATCH("SS",スタメン!C4:C14,0)-1,0)),"",OFFSET(スタメン!E4,MATCH("SS",スタメン!C4:C14,0)-1,0)),"")</f>
        <v/>
      </c>
      <c r="C12" s="115"/>
      <c r="D12" s="115"/>
      <c r="E12" s="117"/>
      <c r="F12" s="9"/>
      <c r="G12" s="103" t="str">
        <f ca="1">IF(COUNTIF(スタメン!C4:C14,"2B")=1,IF(ISBLANK(OFFSET(スタメン!E4,MATCH("2B",スタメン!C4:C14,0)-1,0)),"",OFFSET(スタメン!E4,MATCH("2B",スタメン!C4:C14,0)-1,0)),"")</f>
        <v/>
      </c>
      <c r="H12" s="104"/>
      <c r="I12" s="104"/>
      <c r="J12" s="104"/>
      <c r="K12" s="16"/>
      <c r="L12" s="14"/>
      <c r="M12" s="13"/>
      <c r="N12" s="114" t="str">
        <f ca="1">IF(COUNTIF(スタメン!I4:I14,"SS")=1,IF(ISBLANK(OFFSET(スタメン!K4,MATCH("SS",スタメン!I4:I14,0)-1,0)),"",OFFSET(スタメン!K4,MATCH("SS",スタメン!I4:I14,0)-1,0)),"")</f>
        <v/>
      </c>
      <c r="O12" s="115"/>
      <c r="P12" s="116"/>
      <c r="Q12" s="117"/>
      <c r="R12" s="9"/>
      <c r="S12" s="103" t="str">
        <f ca="1">IF(COUNTIF(スタメン!I4:I14,"2B")=1,IF(ISBLANK(OFFSET(スタメン!K4,MATCH("2B",スタメン!I4:I14,0)-1,0)),"",OFFSET(スタメン!K4,MATCH("2B",スタメン!I4:I14,0)-1,0)),"")</f>
        <v/>
      </c>
      <c r="T12" s="104"/>
      <c r="U12" s="104"/>
      <c r="V12" s="104"/>
      <c r="W12" s="16"/>
    </row>
    <row r="13" spans="1:23" s="7" customFormat="1" ht="30" customHeight="1">
      <c r="B13" s="8"/>
      <c r="C13" s="8"/>
      <c r="D13" s="9"/>
      <c r="E13" s="9"/>
      <c r="F13" s="9"/>
      <c r="G13" s="9"/>
      <c r="H13" s="9"/>
      <c r="J13" s="8"/>
      <c r="K13" s="8"/>
      <c r="L13" s="8"/>
      <c r="N13" s="8"/>
      <c r="O13" s="8"/>
      <c r="P13" s="38"/>
      <c r="Q13" s="9"/>
      <c r="R13" s="9"/>
      <c r="S13" s="9"/>
      <c r="T13" s="9"/>
      <c r="V13" s="8"/>
      <c r="W13" s="8"/>
    </row>
    <row r="14" spans="1:23" s="7" customFormat="1" ht="30" customHeight="1">
      <c r="A14" s="21" t="s">
        <v>10</v>
      </c>
      <c r="B14" s="101" t="str">
        <f ca="1">IF(COUNTIF(スタメン!C4:C14,"3B")=1,IF(ISBLANK(OFFSET(スタメン!D4,MATCH("3B",スタメン!C4:C14,0)-1,0)),"",OFFSET(スタメン!D4,MATCH("3B",スタメン!C4:C14,0)-1,0)),"")</f>
        <v/>
      </c>
      <c r="C14" s="101"/>
      <c r="D14" s="101"/>
      <c r="E14" s="9"/>
      <c r="F14" s="9"/>
      <c r="G14" s="9"/>
      <c r="H14" s="22" t="s">
        <v>11</v>
      </c>
      <c r="I14" s="102" t="str">
        <f ca="1">IF(COUNTIF(スタメン!C4:C14,"1B")=1,IF(ISBLANK(OFFSET(スタメン!D4,MATCH("1B",スタメン!C4:C14,0)-1,0)),"",OFFSET(スタメン!D4,MATCH("1B",スタメン!C4:C14,0)-1,0)),"")</f>
        <v/>
      </c>
      <c r="J14" s="102"/>
      <c r="K14" s="102"/>
      <c r="L14" s="8"/>
      <c r="M14" s="23" t="s">
        <v>10</v>
      </c>
      <c r="N14" s="108" t="str">
        <f ca="1">IF(COUNTIF(スタメン!I4:I14,"3B")=1,IF(ISBLANK(OFFSET(スタメン!J4,MATCH("3B",スタメン!I4:I51,0)-1,0)),"",OFFSET(スタメン!J4,MATCH("3B",スタメン!I4:I14,0)-1,0)),"")</f>
        <v/>
      </c>
      <c r="O14" s="108"/>
      <c r="P14" s="118"/>
      <c r="Q14" s="9"/>
      <c r="R14" s="9"/>
      <c r="S14" s="9"/>
      <c r="T14" s="24" t="s">
        <v>11</v>
      </c>
      <c r="U14" s="113" t="str">
        <f ca="1">IF(COUNTIF(スタメン!I4:I14,"1B")=1,IF(ISBLANK(OFFSET(スタメン!J4,MATCH("1B",スタメン!I4:I14,0)-1,0)),"",OFFSET(スタメン!J4,MATCH("1B",スタメン!I4:I14,0)-1,0)),"")</f>
        <v/>
      </c>
      <c r="V14" s="113"/>
      <c r="W14" s="113"/>
    </row>
    <row r="15" spans="1:23" s="7" customFormat="1" ht="30" customHeight="1">
      <c r="A15" s="109" t="str">
        <f ca="1">IF(COUNTIF(スタメン!C4:C14,"3B")=1,IF(ISBLANK(OFFSET(スタメン!E4,MATCH("3B",スタメン!C4:C14,0)-1,0)),"",OFFSET(スタメン!E4,MATCH("3B",スタメン!C4:C14,0)-1,0)),"")</f>
        <v/>
      </c>
      <c r="B15" s="110"/>
      <c r="C15" s="110"/>
      <c r="D15" s="110"/>
      <c r="E15" s="12"/>
      <c r="F15" s="9"/>
      <c r="G15" s="13"/>
      <c r="H15" s="105" t="str">
        <f ca="1">IF(COUNTIF(スタメン!C4:C14,"1B")=1,IF(ISBLANK(OFFSET(スタメン!E4,MATCH("1B",スタメン!C4:C14,0)-1,0)),"",OFFSET(スタメン!E4,MATCH("1B",スタメン!C4:C14,0)-1,0)),"")</f>
        <v/>
      </c>
      <c r="I15" s="106"/>
      <c r="J15" s="106"/>
      <c r="K15" s="107"/>
      <c r="L15" s="14"/>
      <c r="M15" s="105" t="str">
        <f ca="1">IF(COUNTIF(スタメン!I4:I14,"3B")=1,IF(ISBLANK(OFFSET(スタメン!K4,MATCH("3B",スタメン!I4:I51,0)-1,0)),"",OFFSET(スタメン!K4,MATCH("3B",スタメン!I4:I14,0)-1,0)),"")</f>
        <v/>
      </c>
      <c r="N15" s="106"/>
      <c r="O15" s="106"/>
      <c r="P15" s="112"/>
      <c r="Q15" s="16"/>
      <c r="R15" s="9"/>
      <c r="S15" s="13"/>
      <c r="T15" s="105" t="str">
        <f ca="1">IF(COUNTIF(スタメン!I4:I14,"1B")=1,IF(ISBLANK(OFFSET(スタメン!K4,MATCH("1B",スタメン!I4:I14,0)-1,0)),"",OFFSET(スタメン!K4,MATCH("1B",スタメン!I4:I14,0)-1,0)),"")</f>
        <v/>
      </c>
      <c r="U15" s="106"/>
      <c r="V15" s="106"/>
      <c r="W15" s="107"/>
    </row>
    <row r="16" spans="1:23" s="7" customFormat="1" ht="30" customHeight="1">
      <c r="A16" s="10"/>
      <c r="B16" s="10"/>
      <c r="C16" s="10"/>
      <c r="D16" s="10"/>
      <c r="E16" s="17"/>
      <c r="F16" s="9"/>
      <c r="G16" s="18"/>
      <c r="H16" s="9"/>
      <c r="I16" s="9"/>
      <c r="J16" s="9"/>
      <c r="K16" s="9"/>
      <c r="L16" s="14"/>
      <c r="M16" s="9"/>
      <c r="N16" s="9"/>
      <c r="O16" s="9"/>
      <c r="P16" s="38"/>
      <c r="Q16" s="9"/>
      <c r="R16" s="9"/>
      <c r="S16" s="9"/>
      <c r="T16" s="9"/>
      <c r="U16" s="9"/>
      <c r="V16" s="9"/>
      <c r="W16" s="9"/>
    </row>
    <row r="17" spans="1:23" s="7" customFormat="1" ht="30" customHeight="1">
      <c r="B17" s="8"/>
      <c r="C17" s="8"/>
      <c r="D17" s="30" t="s">
        <v>2</v>
      </c>
      <c r="E17" s="102">
        <f>スタメン!D4</f>
        <v>45</v>
      </c>
      <c r="F17" s="102"/>
      <c r="G17" s="102"/>
      <c r="H17" s="9"/>
      <c r="J17" s="8"/>
      <c r="K17" s="8"/>
      <c r="L17" s="8"/>
      <c r="N17" s="8"/>
      <c r="O17" s="8"/>
      <c r="P17" s="40" t="s">
        <v>2</v>
      </c>
      <c r="Q17" s="113">
        <f>スタメン!J4</f>
        <v>98</v>
      </c>
      <c r="R17" s="113"/>
      <c r="S17" s="113"/>
      <c r="T17" s="9"/>
      <c r="V17" s="8"/>
      <c r="W17" s="8"/>
    </row>
    <row r="18" spans="1:23" s="7" customFormat="1" ht="30" customHeight="1">
      <c r="B18" s="8"/>
      <c r="C18" s="8"/>
      <c r="D18" s="109" t="str">
        <f>スタメン!E4</f>
        <v>アンドリュー・ヒーニー</v>
      </c>
      <c r="E18" s="110"/>
      <c r="F18" s="110"/>
      <c r="G18" s="110"/>
      <c r="H18" s="111"/>
      <c r="J18" s="8"/>
      <c r="K18" s="8"/>
      <c r="L18" s="8"/>
      <c r="N18" s="8"/>
      <c r="O18" s="8"/>
      <c r="P18" s="105" t="str">
        <f>スタメン!K4</f>
        <v>ランディ・バスケス</v>
      </c>
      <c r="Q18" s="106"/>
      <c r="R18" s="106"/>
      <c r="S18" s="106"/>
      <c r="T18" s="107"/>
      <c r="V18" s="8"/>
      <c r="W18" s="8"/>
    </row>
    <row r="19" spans="1:23" s="7" customFormat="1" ht="30" customHeight="1">
      <c r="B19" s="8"/>
      <c r="C19" s="8"/>
      <c r="J19" s="8"/>
      <c r="K19" s="8"/>
      <c r="L19" s="8"/>
      <c r="N19" s="8"/>
      <c r="O19" s="8"/>
      <c r="P19" s="37"/>
      <c r="V19" s="8"/>
      <c r="W19" s="8"/>
    </row>
    <row r="20" spans="1:23" s="7" customFormat="1" ht="30" customHeight="1">
      <c r="B20" s="8"/>
      <c r="C20" s="8"/>
      <c r="J20" s="8"/>
      <c r="K20" s="8"/>
      <c r="L20" s="8"/>
      <c r="N20" s="8"/>
      <c r="O20" s="8"/>
      <c r="P20" s="37"/>
      <c r="V20" s="8"/>
      <c r="W20" s="8"/>
    </row>
    <row r="21" spans="1:23" s="7" customFormat="1" ht="30" customHeight="1">
      <c r="B21" s="8"/>
      <c r="C21" s="8"/>
      <c r="J21" s="8"/>
      <c r="K21" s="8"/>
      <c r="L21" s="8"/>
      <c r="N21" s="8"/>
      <c r="O21" s="8"/>
      <c r="P21" s="37"/>
      <c r="V21" s="8"/>
      <c r="W21" s="8"/>
    </row>
    <row r="22" spans="1:23" s="7" customFormat="1" ht="30" customHeight="1">
      <c r="B22" s="8"/>
      <c r="C22" s="8"/>
      <c r="D22" s="31" t="s">
        <v>12</v>
      </c>
      <c r="E22" s="101" t="str">
        <f ca="1">IF(COUNTIF(スタメン!C4:C14,"C")=1,IF(ISBLANK(OFFSET(スタメン!D4,MATCH("C",スタメン!C4:C14,0)-1,0)),"",OFFSET(スタメン!D4,MATCH("C",スタメン!C4:C14,0)-1,0)),"")</f>
        <v/>
      </c>
      <c r="F22" s="101"/>
      <c r="G22" s="101"/>
      <c r="J22" s="8"/>
      <c r="K22" s="8"/>
      <c r="L22" s="8"/>
      <c r="N22" s="8"/>
      <c r="O22" s="8"/>
      <c r="P22" s="39" t="s">
        <v>12</v>
      </c>
      <c r="Q22" s="108" t="str">
        <f ca="1">IF(COUNTIF(スタメン!I4:I14,"C")=1,IF(ISBLANK(OFFSET(スタメン!J4,MATCH("C",スタメン!I4:I14,0)-1,0)),"",OFFSET(スタメン!J4,MATCH("C",スタメン!I4:I14,0)-1,0)),"")</f>
        <v/>
      </c>
      <c r="R22" s="108"/>
      <c r="S22" s="108"/>
      <c r="V22" s="8"/>
      <c r="W22" s="8"/>
    </row>
    <row r="23" spans="1:23" s="7" customFormat="1" ht="30" customHeight="1">
      <c r="B23" s="8"/>
      <c r="C23" s="8"/>
      <c r="D23" s="105" t="str">
        <f ca="1">IF(COUNTIF(スタメン!C4:C14,"C")=1,IF(ISBLANK(OFFSET(スタメン!E4,MATCH("C",スタメン!C4:C14,0)-1,0)),"",OFFSET(スタメン!E4,MATCH("C",スタメン!C4:C14,0)-1,0)),"")</f>
        <v/>
      </c>
      <c r="E23" s="106"/>
      <c r="F23" s="106"/>
      <c r="G23" s="106"/>
      <c r="H23" s="107"/>
      <c r="J23" s="8"/>
      <c r="K23" s="8"/>
      <c r="L23" s="8"/>
      <c r="N23" s="8"/>
      <c r="O23" s="8"/>
      <c r="P23" s="105" t="str">
        <f ca="1">IF(COUNTIF(スタメン!I4:I14,"C")=1,IF(ISBLANK(OFFSET(スタメン!K4,MATCH("C",スタメン!I4:I14,0)-1,0)),"",OFFSET(スタメン!K4,MATCH("C",スタメン!I4:I14,0)-1,0)),"")</f>
        <v/>
      </c>
      <c r="Q23" s="106"/>
      <c r="R23" s="106"/>
      <c r="S23" s="106"/>
      <c r="T23" s="107"/>
      <c r="V23" s="8"/>
      <c r="W23" s="8"/>
    </row>
    <row r="24" spans="1:23" ht="30" customHeight="1"/>
    <row r="25" spans="1:23" ht="30" customHeight="1">
      <c r="A25" s="19" t="s">
        <v>13</v>
      </c>
      <c r="B25" s="32" t="str">
        <f ca="1">IF(COUNTIF(スタメン!C4:C14,"DH")=1,IF(ISBLANK(OFFSET(スタメン!D4,MATCH("DH",スタメン!C4:C14,0)-1,0)),"",OFFSET(スタメン!D4,MATCH("DH",スタメン!C4:C14,0)-1,0)),"")</f>
        <v/>
      </c>
      <c r="C25" s="106" t="str">
        <f ca="1">IF(COUNTIF(スタメン!C4:C14,"DH")=1,IF(ISBLANK(OFFSET(スタメン!E4,MATCH("DH",スタメン!C4:C14,0)-1,0)),"",OFFSET(スタメン!E4,MATCH("DH",スタメン!C4:C14,0)-1,0)),"")</f>
        <v/>
      </c>
      <c r="D25" s="106"/>
      <c r="E25" s="106"/>
      <c r="F25" s="107"/>
      <c r="M25" s="19" t="s">
        <v>13</v>
      </c>
      <c r="N25" s="32" t="str">
        <f ca="1">IF(COUNTIF(スタメン!I4:I14,"DH")=1,IF(ISBLANK(OFFSET(スタメン!J4,MATCH("DH",スタメン!I4:I14,0)-1,0)),"",OFFSET(スタメン!J4,MATCH("DH",スタメン!I4:I14,0)-1,0)),"")</f>
        <v/>
      </c>
      <c r="O25" s="106" t="str">
        <f ca="1">IF(COUNTIF(スタメン!I4:I14,"DH")=1,IF(ISBLANK(OFFSET(スタメン!K4,MATCH("DH",スタメン!I4:I14,0)-1,0)),"",OFFSET(スタメン!K4,MATCH("DH",スタメン!I4:I14,0)-1,0)),"")</f>
        <v/>
      </c>
      <c r="P25" s="106"/>
      <c r="Q25" s="106"/>
      <c r="R25" s="107"/>
    </row>
    <row r="26" spans="1:23" ht="30" customHeight="1"/>
    <row r="27" spans="1:23" ht="30" customHeight="1"/>
    <row r="28" spans="1:23" ht="30" customHeight="1">
      <c r="P28" s="7" t="s">
        <v>14</v>
      </c>
    </row>
    <row r="29" spans="1:23" ht="30" customHeight="1">
      <c r="P29" s="7" t="s">
        <v>14</v>
      </c>
    </row>
    <row r="30" spans="1:23" ht="30" customHeight="1">
      <c r="P30" s="7" t="s">
        <v>14</v>
      </c>
    </row>
    <row r="31" spans="1:23" ht="30" customHeight="1">
      <c r="P31" s="7" t="s">
        <v>14</v>
      </c>
    </row>
  </sheetData>
  <mergeCells count="41">
    <mergeCell ref="C25:F25"/>
    <mergeCell ref="O25:R25"/>
    <mergeCell ref="N7:P7"/>
    <mergeCell ref="U7:W7"/>
    <mergeCell ref="O11:Q11"/>
    <mergeCell ref="T11:V11"/>
    <mergeCell ref="U14:W14"/>
    <mergeCell ref="N14:P14"/>
    <mergeCell ref="D23:H23"/>
    <mergeCell ref="D18:H18"/>
    <mergeCell ref="M8:P8"/>
    <mergeCell ref="P23:T23"/>
    <mergeCell ref="P18:T18"/>
    <mergeCell ref="E22:G22"/>
    <mergeCell ref="B12:E12"/>
    <mergeCell ref="A15:D15"/>
    <mergeCell ref="H15:K15"/>
    <mergeCell ref="Q22:S22"/>
    <mergeCell ref="A8:D8"/>
    <mergeCell ref="S12:V12"/>
    <mergeCell ref="M15:P15"/>
    <mergeCell ref="Q17:S17"/>
    <mergeCell ref="N12:Q12"/>
    <mergeCell ref="T15:W15"/>
    <mergeCell ref="T8:W8"/>
    <mergeCell ref="H8:K8"/>
    <mergeCell ref="E17:G17"/>
    <mergeCell ref="B1:U1"/>
    <mergeCell ref="B2:J2"/>
    <mergeCell ref="N2:V2"/>
    <mergeCell ref="P6:T6"/>
    <mergeCell ref="Q5:S5"/>
    <mergeCell ref="E6:H6"/>
    <mergeCell ref="E5:H5"/>
    <mergeCell ref="B7:D7"/>
    <mergeCell ref="I7:K7"/>
    <mergeCell ref="C11:E11"/>
    <mergeCell ref="H11:J11"/>
    <mergeCell ref="B14:D14"/>
    <mergeCell ref="I14:K14"/>
    <mergeCell ref="G12:J12"/>
  </mergeCells>
  <phoneticPr fontId="1"/>
  <pageMargins left="0.7" right="0.7" top="0.75" bottom="0.75" header="0.3" footer="0.3"/>
  <pageSetup paperSize="9" scale="63" orientation="landscape" copies="2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C22458D-6266-4FB2-BF88-2BBC2488603B}">
          <x14:formula1>
            <xm:f>date!$B$11:$B$13</xm:f>
          </x14:formula1>
          <xm:sqref>V17:W17 V13:W13 L13:L14 J13:K13 V9:W10 J17:L17 J9:L10</xm:sqref>
        </x14:dataValidation>
        <x14:dataValidation type="list" allowBlank="1" showInputMessage="1" showErrorMessage="1" xr:uid="{B67A564B-C2DC-41A9-98C7-D76996E75C9D}">
          <x14:formula1>
            <xm:f>date!$A$1:$A$30</xm:f>
          </x14:formula1>
          <xm:sqref>N2:V2 B2:L2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AD14-D059-4629-A82C-5D935B2D3454}">
  <sheetPr>
    <pageSetUpPr fitToPage="1"/>
  </sheetPr>
  <dimension ref="A1:R31"/>
  <sheetViews>
    <sheetView view="pageBreakPreview" zoomScale="70" zoomScaleNormal="75" zoomScaleSheetLayoutView="70" workbookViewId="0">
      <selection activeCell="O34" sqref="O34"/>
    </sheetView>
  </sheetViews>
  <sheetFormatPr baseColWidth="10" defaultColWidth="9" defaultRowHeight="27"/>
  <cols>
    <col min="1" max="1" width="8.5" style="3" customWidth="1"/>
    <col min="2" max="3" width="7.5" style="1" customWidth="1"/>
    <col min="4" max="4" width="7.5" style="3" customWidth="1"/>
    <col min="5" max="5" width="40.5" style="3" customWidth="1"/>
    <col min="6" max="6" width="7.5" style="3" customWidth="1"/>
    <col min="7" max="15" width="8.5" style="3" customWidth="1"/>
    <col min="16" max="16" width="8.5" style="7" customWidth="1"/>
    <col min="17" max="17" width="8.5" style="1" customWidth="1"/>
    <col min="18" max="16384" width="9" style="3"/>
  </cols>
  <sheetData>
    <row r="1" spans="1:18" ht="44.25" customHeight="1">
      <c r="A1" s="119" t="s">
        <v>15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18" ht="30" customHeight="1">
      <c r="B2" s="20" t="s">
        <v>16</v>
      </c>
      <c r="C2" s="120" t="str">
        <f>スタメン!B3</f>
        <v>ピッツバーグ・パイレーツ</v>
      </c>
      <c r="D2" s="120"/>
      <c r="E2" s="120"/>
      <c r="F2" s="121"/>
      <c r="G2" s="29"/>
      <c r="I2" s="20" t="s">
        <v>17</v>
      </c>
      <c r="J2" s="122" t="str">
        <f>スタメン!H3</f>
        <v>サンディエゴ・パドレス</v>
      </c>
      <c r="K2" s="120"/>
      <c r="L2" s="120"/>
      <c r="M2" s="120"/>
      <c r="N2" s="120"/>
      <c r="O2" s="120"/>
      <c r="P2" s="120"/>
      <c r="Q2" s="121"/>
    </row>
    <row r="3" spans="1:18" s="7" customFormat="1" ht="30" customHeight="1">
      <c r="B3" s="2"/>
      <c r="C3" s="2"/>
      <c r="D3" s="2"/>
      <c r="E3" s="5"/>
      <c r="F3" s="2"/>
      <c r="K3" s="5"/>
      <c r="Q3" s="8"/>
    </row>
    <row r="4" spans="1:18" s="7" customFormat="1" ht="60" customHeight="1">
      <c r="B4" s="20"/>
      <c r="C4" s="20" t="s">
        <v>2</v>
      </c>
      <c r="D4" s="6">
        <f>スタメン!D4</f>
        <v>45</v>
      </c>
      <c r="E4" s="41" t="str">
        <f>スタメン!E4</f>
        <v>アンドリュー・ヒーニー</v>
      </c>
      <c r="F4" s="6" t="str">
        <f>スタメン!F4</f>
        <v>L</v>
      </c>
      <c r="P4" s="37"/>
      <c r="Q4" s="8"/>
    </row>
    <row r="5" spans="1:18" s="7" customFormat="1" ht="30" customHeight="1">
      <c r="B5" s="2"/>
      <c r="C5" s="2"/>
      <c r="D5" s="2"/>
      <c r="E5" s="42"/>
      <c r="F5" s="1"/>
      <c r="G5" s="27"/>
      <c r="I5" s="8"/>
      <c r="J5" s="8"/>
      <c r="K5" s="31" t="s">
        <v>5</v>
      </c>
      <c r="L5" s="108" t="str">
        <f ca="1">IF(COUNTIF(スタメン!I4:I14,"CF")=1,IF(ISBLANK(OFFSET(スタメン!J4,MATCH("CF",スタメン!I4:I14,0)-1,0)),"",OFFSET(スタメン!J4,MATCH("CF",スタメン!I4:I14,0)-1,0)),"")</f>
        <v/>
      </c>
      <c r="M5" s="108"/>
      <c r="N5" s="108"/>
      <c r="O5" s="10"/>
      <c r="P5" s="37"/>
      <c r="Q5" s="8"/>
    </row>
    <row r="6" spans="1:18" s="7" customFormat="1" ht="30" customHeight="1">
      <c r="B6" s="93">
        <v>1</v>
      </c>
      <c r="C6" s="93" t="str">
        <f>スタメン!C6</f>
        <v>SS</v>
      </c>
      <c r="D6" s="93">
        <f>スタメン!D6</f>
        <v>0</v>
      </c>
      <c r="E6" s="124">
        <f>スタメン!E6</f>
        <v>0</v>
      </c>
      <c r="F6" s="93" t="str">
        <f>スタメン!F6</f>
        <v>S</v>
      </c>
      <c r="G6" s="18"/>
      <c r="K6" s="105" t="str">
        <f ca="1">IF(COUNTIF(スタメン!I4:I14,"CF")=1,IF(ISBLANK(OFFSET(スタメン!K4,MATCH("CF",スタメン!I4:I14,0)-1,0)),"",OFFSET(スタメン!K4,MATCH("CF",スタメン!I4:I14,0)-1,0)),"")</f>
        <v/>
      </c>
      <c r="L6" s="106"/>
      <c r="M6" s="106"/>
      <c r="N6" s="106"/>
      <c r="O6" s="107"/>
      <c r="P6" s="37"/>
    </row>
    <row r="7" spans="1:18" s="7" customFormat="1" ht="30" customHeight="1">
      <c r="A7" s="33"/>
      <c r="B7" s="123"/>
      <c r="C7" s="123"/>
      <c r="D7" s="123"/>
      <c r="E7" s="125"/>
      <c r="F7" s="123"/>
      <c r="H7" s="23" t="s">
        <v>6</v>
      </c>
      <c r="I7" s="108" t="str">
        <f ca="1">IF(COUNTIF(スタメン!I4:I14,"LF")=1,IF(ISBLANK(OFFSET(スタメン!J4,MATCH("LF",スタメン!I4:I14,0)-1,0)),"",OFFSET(スタメン!J4,MATCH("LF",スタメン!I4:I14,0)-1,0)),"")</f>
        <v/>
      </c>
      <c r="J7" s="108"/>
      <c r="K7" s="108"/>
      <c r="L7" s="8"/>
      <c r="M7" s="8"/>
      <c r="O7" s="23" t="s">
        <v>7</v>
      </c>
      <c r="P7" s="118" t="str">
        <f ca="1">IF(COUNTIF(スタメン!I4:I14,"RF")=1,IF(ISBLANK(OFFSET(スタメン!J4,MATCH("RF",スタメン!I4:I14,0)-1,0)),"",OFFSET(スタメン!J4,MATCH("RF",スタメン!I4:I14,0)-1,0)),"")</f>
        <v/>
      </c>
      <c r="Q7" s="108"/>
      <c r="R7" s="108"/>
    </row>
    <row r="8" spans="1:18" s="7" customFormat="1" ht="30" customHeight="1">
      <c r="A8" s="17"/>
      <c r="B8" s="93">
        <v>2</v>
      </c>
      <c r="C8" s="93" t="str">
        <f>スタメン!C7</f>
        <v>RF</v>
      </c>
      <c r="D8" s="93">
        <f>スタメン!D7</f>
        <v>0</v>
      </c>
      <c r="E8" s="124">
        <f>スタメン!E7</f>
        <v>0</v>
      </c>
      <c r="F8" s="93" t="str">
        <f>スタメン!F7</f>
        <v>L</v>
      </c>
      <c r="G8" s="18"/>
      <c r="H8" s="105" t="str">
        <f ca="1">IF(COUNTIF(スタメン!I4:I14,"LF")=1,IF(ISBLANK(OFFSET(スタメン!K4,MATCH("LF",スタメン!I4:I14,0)-1,0)),"",OFFSET(スタメン!K4,MATCH("LF",スタメン!I4:I14,0)-1,0)),"")</f>
        <v/>
      </c>
      <c r="I8" s="106"/>
      <c r="J8" s="106"/>
      <c r="K8" s="106"/>
      <c r="L8" s="16"/>
      <c r="M8" s="9"/>
      <c r="N8" s="13"/>
      <c r="O8" s="105" t="str">
        <f ca="1">IF(COUNTIF(スタメン!I4:I14,"RF")=1,IF(ISBLANK(OFFSET(スタメン!K4,MATCH("RF",スタメン!I4:I14,0)-1,0)),"",OFFSET(スタメン!K4,MATCH("RF",スタメン!I4:I14,0)-1,0)),"")</f>
        <v/>
      </c>
      <c r="P8" s="112"/>
      <c r="Q8" s="106"/>
      <c r="R8" s="107"/>
    </row>
    <row r="9" spans="1:18" s="7" customFormat="1" ht="30" customHeight="1">
      <c r="B9" s="123"/>
      <c r="C9" s="123"/>
      <c r="D9" s="123"/>
      <c r="E9" s="125"/>
      <c r="F9" s="123"/>
      <c r="G9" s="9"/>
      <c r="I9" s="8"/>
      <c r="J9" s="8"/>
      <c r="K9" s="9"/>
      <c r="L9" s="9"/>
      <c r="M9" s="9"/>
      <c r="N9" s="9"/>
      <c r="O9" s="9"/>
      <c r="P9" s="37"/>
      <c r="Q9" s="8"/>
      <c r="R9" s="8"/>
    </row>
    <row r="10" spans="1:18" s="7" customFormat="1" ht="30" customHeight="1">
      <c r="B10" s="93">
        <v>3</v>
      </c>
      <c r="C10" s="93" t="str">
        <f>スタメン!C8</f>
        <v>1B</v>
      </c>
      <c r="D10" s="93">
        <f>スタメン!D8</f>
        <v>0</v>
      </c>
      <c r="E10" s="124">
        <f>スタメン!E8</f>
        <v>0</v>
      </c>
      <c r="F10" s="93" t="str">
        <f>スタメン!F8</f>
        <v>R</v>
      </c>
      <c r="G10" s="9"/>
      <c r="I10" s="8"/>
      <c r="J10" s="8"/>
      <c r="K10" s="9"/>
      <c r="L10" s="9"/>
      <c r="M10" s="9"/>
      <c r="N10" s="9"/>
      <c r="O10" s="9"/>
      <c r="P10" s="37"/>
      <c r="Q10" s="8"/>
      <c r="R10" s="8"/>
    </row>
    <row r="11" spans="1:18" s="7" customFormat="1" ht="30" customHeight="1">
      <c r="B11" s="123"/>
      <c r="C11" s="123"/>
      <c r="D11" s="123"/>
      <c r="E11" s="125"/>
      <c r="F11" s="123"/>
      <c r="G11" s="34"/>
      <c r="I11" s="23" t="s">
        <v>8</v>
      </c>
      <c r="J11" s="108" t="str">
        <f ca="1">IF(COUNTIF(スタメン!I4:I14,"SS")=1,IF(ISBLANK(OFFSET(スタメン!J4,MATCH("SS",スタメン!I4:I14,0)-1,0)),"",OFFSET(スタメン!J4,MATCH("SS",スタメン!I4:I14,0)-1,0)),"")</f>
        <v/>
      </c>
      <c r="K11" s="108"/>
      <c r="L11" s="108"/>
      <c r="M11" s="9"/>
      <c r="N11" s="24" t="s">
        <v>9</v>
      </c>
      <c r="O11" s="113" t="str">
        <f ca="1">IF(COUNTIF(スタメン!I4:I14,"2B")=1,IF(ISBLANK(OFFSET(スタメン!J4,MATCH("2B",スタメン!I4:I14,0)-1,0)),"",OFFSET(スタメン!J4,MATCH("2B",スタメン!I4:I14,0)-1,0)),"")</f>
        <v/>
      </c>
      <c r="P11" s="126"/>
      <c r="Q11" s="113"/>
      <c r="R11" s="15"/>
    </row>
    <row r="12" spans="1:18" s="7" customFormat="1" ht="30" customHeight="1">
      <c r="A12" s="18"/>
      <c r="B12" s="93">
        <v>4</v>
      </c>
      <c r="C12" s="93" t="str">
        <f>スタメン!C9</f>
        <v>LF</v>
      </c>
      <c r="D12" s="93">
        <f>スタメン!D9</f>
        <v>0</v>
      </c>
      <c r="E12" s="124">
        <f>スタメン!E9</f>
        <v>0</v>
      </c>
      <c r="F12" s="93" t="str">
        <f>スタメン!F9</f>
        <v>L</v>
      </c>
      <c r="G12" s="18"/>
      <c r="H12" s="13"/>
      <c r="I12" s="114" t="str">
        <f ca="1">IF(COUNTIF(スタメン!I4:I14,"SS")=1,IF(ISBLANK(OFFSET(スタメン!K4,MATCH("SS",スタメン!I4:I14,0)-1,0)),"",OFFSET(スタメン!K4,MATCH("SS",スタメン!I4:I14,0)-1,0)),"")</f>
        <v/>
      </c>
      <c r="J12" s="115"/>
      <c r="K12" s="115"/>
      <c r="L12" s="117"/>
      <c r="M12" s="9"/>
      <c r="N12" s="103" t="str">
        <f ca="1">IF(COUNTIF(スタメン!I4:I14,"2B")=1,IF(ISBLANK(OFFSET(スタメン!K4,MATCH("2B",スタメン!I4:I14,0)-1,0)),"",OFFSET(スタメン!K4,MATCH("2B",スタメン!I4:I14,0)-1,0)),"")</f>
        <v/>
      </c>
      <c r="O12" s="104"/>
      <c r="P12" s="127"/>
      <c r="Q12" s="104"/>
      <c r="R12" s="16"/>
    </row>
    <row r="13" spans="1:18" s="7" customFormat="1" ht="30" customHeight="1">
      <c r="B13" s="123"/>
      <c r="C13" s="123"/>
      <c r="D13" s="123"/>
      <c r="E13" s="125"/>
      <c r="F13" s="123"/>
      <c r="G13" s="9"/>
      <c r="I13" s="8"/>
      <c r="J13" s="8"/>
      <c r="K13" s="9"/>
      <c r="L13" s="9"/>
      <c r="M13" s="9"/>
      <c r="N13" s="9"/>
      <c r="O13" s="9"/>
      <c r="P13" s="37"/>
      <c r="Q13" s="8"/>
      <c r="R13" s="8"/>
    </row>
    <row r="14" spans="1:18" s="7" customFormat="1" ht="30" customHeight="1">
      <c r="A14" s="33"/>
      <c r="B14" s="93">
        <v>5</v>
      </c>
      <c r="C14" s="93" t="str">
        <f>スタメン!C10</f>
        <v>DH</v>
      </c>
      <c r="D14" s="93">
        <f>スタメン!D10</f>
        <v>0</v>
      </c>
      <c r="E14" s="124">
        <f>スタメン!E10</f>
        <v>0</v>
      </c>
      <c r="F14" s="93" t="str">
        <f>スタメン!F10</f>
        <v>R</v>
      </c>
      <c r="G14" s="9"/>
      <c r="H14" s="23" t="s">
        <v>10</v>
      </c>
      <c r="I14" s="108" t="str">
        <f ca="1">IF(COUNTIF(スタメン!I4:I14,"3B")=1,IF(ISBLANK(OFFSET(スタメン!J4,MATCH("3B",スタメン!I4:I51,0)-1,0)),"",OFFSET(スタメン!J4,MATCH("3B",スタメン!I4:I14,0)-1,0)),"")</f>
        <v/>
      </c>
      <c r="J14" s="108"/>
      <c r="K14" s="108"/>
      <c r="L14" s="9"/>
      <c r="M14" s="9"/>
      <c r="N14" s="9"/>
      <c r="O14" s="24" t="s">
        <v>11</v>
      </c>
      <c r="P14" s="126" t="str">
        <f ca="1">IF(COUNTIF(スタメン!I4:I14,"1B")=1,IF(ISBLANK(OFFSET(スタメン!J4,MATCH("1B",スタメン!I4:I14,0)-1,0)),"",OFFSET(スタメン!J4,MATCH("1B",スタメン!I4:I14,0)-1,0)),"")</f>
        <v/>
      </c>
      <c r="Q14" s="113"/>
      <c r="R14" s="113"/>
    </row>
    <row r="15" spans="1:18" s="7" customFormat="1" ht="30" customHeight="1">
      <c r="A15" s="17"/>
      <c r="B15" s="123"/>
      <c r="C15" s="123"/>
      <c r="D15" s="123"/>
      <c r="E15" s="125"/>
      <c r="F15" s="123"/>
      <c r="G15" s="18"/>
      <c r="H15" s="105" t="str">
        <f ca="1">IF(COUNTIF(スタメン!I4:I14,"3B")=1,IF(ISBLANK(OFFSET(スタメン!K4,MATCH("3B",スタメン!I4:I51,0)-1,0)),"",OFFSET(スタメン!K4,MATCH("3B",スタメン!I4:I14,0)-1,0)),"")</f>
        <v/>
      </c>
      <c r="I15" s="106"/>
      <c r="J15" s="106"/>
      <c r="K15" s="106"/>
      <c r="L15" s="16"/>
      <c r="M15" s="9"/>
      <c r="N15" s="13"/>
      <c r="O15" s="105" t="str">
        <f ca="1">IF(COUNTIF(スタメン!I4:I14,"1B")=1,IF(ISBLANK(OFFSET(スタメン!K4,MATCH("1B",スタメン!I4:I14,0)-1,0)),"",OFFSET(スタメン!K4,MATCH("1B",スタメン!I4:I14,0)-1,0)),"")</f>
        <v/>
      </c>
      <c r="P15" s="112"/>
      <c r="Q15" s="106"/>
      <c r="R15" s="107"/>
    </row>
    <row r="16" spans="1:18" s="7" customFormat="1" ht="30" customHeight="1">
      <c r="A16" s="10"/>
      <c r="B16" s="93">
        <v>6</v>
      </c>
      <c r="C16" s="93" t="str">
        <f>スタメン!C11</f>
        <v>3B</v>
      </c>
      <c r="D16" s="93">
        <f>スタメン!D11</f>
        <v>0</v>
      </c>
      <c r="E16" s="124">
        <f>スタメン!E11</f>
        <v>0</v>
      </c>
      <c r="F16" s="93" t="str">
        <f>スタメン!F11</f>
        <v>L</v>
      </c>
      <c r="G16" s="18"/>
      <c r="H16" s="9"/>
      <c r="I16" s="9"/>
      <c r="J16" s="9"/>
      <c r="K16" s="9"/>
      <c r="L16" s="9"/>
      <c r="M16" s="9"/>
      <c r="N16" s="9"/>
      <c r="O16" s="9"/>
      <c r="P16" s="38"/>
      <c r="Q16" s="9"/>
      <c r="R16" s="9"/>
    </row>
    <row r="17" spans="1:18" s="7" customFormat="1" ht="30" customHeight="1">
      <c r="B17" s="123"/>
      <c r="C17" s="123"/>
      <c r="D17" s="123"/>
      <c r="E17" s="125"/>
      <c r="F17" s="123"/>
      <c r="G17" s="27"/>
      <c r="I17" s="8"/>
      <c r="J17" s="8"/>
      <c r="K17" s="30" t="s">
        <v>2</v>
      </c>
      <c r="L17" s="113">
        <f>スタメン!J4</f>
        <v>98</v>
      </c>
      <c r="M17" s="113"/>
      <c r="N17" s="113"/>
      <c r="O17" s="9"/>
      <c r="P17" s="37"/>
      <c r="Q17" s="8"/>
      <c r="R17" s="8"/>
    </row>
    <row r="18" spans="1:18" s="7" customFormat="1" ht="30" customHeight="1">
      <c r="B18" s="93">
        <v>7</v>
      </c>
      <c r="C18" s="93" t="str">
        <f>スタメン!C12</f>
        <v>C</v>
      </c>
      <c r="D18" s="93">
        <f>スタメン!D12</f>
        <v>0</v>
      </c>
      <c r="E18" s="124">
        <f>スタメン!E12</f>
        <v>0</v>
      </c>
      <c r="F18" s="93" t="str">
        <f>スタメン!F12</f>
        <v>R</v>
      </c>
      <c r="G18" s="17"/>
      <c r="I18" s="8"/>
      <c r="J18" s="8"/>
      <c r="K18" s="105" t="str">
        <f>スタメン!K4</f>
        <v>ランディ・バスケス</v>
      </c>
      <c r="L18" s="106"/>
      <c r="M18" s="106"/>
      <c r="N18" s="106"/>
      <c r="O18" s="107"/>
      <c r="P18" s="37"/>
      <c r="Q18" s="8"/>
      <c r="R18" s="8"/>
    </row>
    <row r="19" spans="1:18" s="7" customFormat="1" ht="30" customHeight="1">
      <c r="B19" s="123"/>
      <c r="C19" s="123"/>
      <c r="D19" s="123"/>
      <c r="E19" s="125"/>
      <c r="F19" s="123"/>
      <c r="I19" s="8"/>
      <c r="J19" s="8"/>
      <c r="P19" s="37"/>
      <c r="Q19" s="8"/>
      <c r="R19" s="8"/>
    </row>
    <row r="20" spans="1:18" s="7" customFormat="1" ht="30" customHeight="1">
      <c r="B20" s="93">
        <v>8</v>
      </c>
      <c r="C20" s="93" t="str">
        <f>スタメン!C13</f>
        <v>2B</v>
      </c>
      <c r="D20" s="93">
        <f>スタメン!D13</f>
        <v>0</v>
      </c>
      <c r="E20" s="124">
        <f>スタメン!E13</f>
        <v>0</v>
      </c>
      <c r="F20" s="93" t="str">
        <f>スタメン!F13</f>
        <v>L</v>
      </c>
      <c r="I20" s="8"/>
      <c r="J20" s="8"/>
      <c r="P20" s="37"/>
      <c r="Q20" s="8"/>
      <c r="R20" s="8"/>
    </row>
    <row r="21" spans="1:18" s="7" customFormat="1" ht="30" customHeight="1">
      <c r="B21" s="123"/>
      <c r="C21" s="123"/>
      <c r="D21" s="123"/>
      <c r="E21" s="125"/>
      <c r="F21" s="123"/>
      <c r="I21" s="8"/>
      <c r="J21" s="8"/>
      <c r="P21" s="37"/>
      <c r="Q21" s="8"/>
      <c r="R21" s="8"/>
    </row>
    <row r="22" spans="1:18" s="7" customFormat="1" ht="30" customHeight="1">
      <c r="B22" s="93">
        <v>9</v>
      </c>
      <c r="C22" s="93" t="str">
        <f>スタメン!C14</f>
        <v>CF</v>
      </c>
      <c r="D22" s="93">
        <f>スタメン!D14</f>
        <v>0</v>
      </c>
      <c r="E22" s="124">
        <f>スタメン!E14</f>
        <v>0</v>
      </c>
      <c r="F22" s="93" t="str">
        <f>スタメン!F14</f>
        <v>R</v>
      </c>
      <c r="G22" s="26"/>
      <c r="I22" s="8"/>
      <c r="J22" s="8"/>
      <c r="K22" s="31" t="s">
        <v>12</v>
      </c>
      <c r="L22" s="108" t="str">
        <f ca="1">IF(COUNTIF(スタメン!I4:I14,"C")=1,IF(ISBLANK(OFFSET(スタメン!J4,MATCH("C",スタメン!I4:I14,0)-1,0)),"",OFFSET(スタメン!J4,MATCH("C",スタメン!I4:I14,0)-1,0)),"")</f>
        <v/>
      </c>
      <c r="M22" s="108"/>
      <c r="N22" s="108"/>
      <c r="P22" s="37"/>
      <c r="Q22" s="8"/>
      <c r="R22" s="8"/>
    </row>
    <row r="23" spans="1:18" s="7" customFormat="1" ht="30" customHeight="1">
      <c r="B23" s="123"/>
      <c r="C23" s="123"/>
      <c r="D23" s="123"/>
      <c r="E23" s="125"/>
      <c r="F23" s="123"/>
      <c r="G23" s="18"/>
      <c r="I23" s="8"/>
      <c r="J23" s="8"/>
      <c r="K23" s="105" t="str">
        <f ca="1">IF(COUNTIF(スタメン!I4:I14,"C")=1,IF(ISBLANK(OFFSET(スタメン!K4,MATCH("C",スタメン!I4:I14,0)-1,0)),"",OFFSET(スタメン!K4,MATCH("C",スタメン!I4:I14,0)-1,0)),"")</f>
        <v/>
      </c>
      <c r="L23" s="106"/>
      <c r="M23" s="106"/>
      <c r="N23" s="106"/>
      <c r="O23" s="107"/>
      <c r="P23" s="37"/>
      <c r="Q23" s="8"/>
      <c r="R23" s="8"/>
    </row>
    <row r="24" spans="1:18" ht="30" customHeight="1">
      <c r="B24" s="8"/>
      <c r="C24" s="8"/>
      <c r="D24" s="18"/>
      <c r="E24" s="18"/>
      <c r="F24" s="18"/>
    </row>
    <row r="25" spans="1:18" ht="30" customHeight="1">
      <c r="A25" s="28"/>
      <c r="H25" s="19" t="s">
        <v>13</v>
      </c>
      <c r="I25" s="32" t="str">
        <f ca="1">IF(COUNTIF(スタメン!I4:I14,"DH")=1,IF(ISBLANK(OFFSET(スタメン!J4,MATCH("DH",スタメン!I4:I14,0)-1,0)),"",OFFSET(スタメン!J4,MATCH("DH",スタメン!I4:I14,0)-1,0)),"")</f>
        <v/>
      </c>
      <c r="J25" s="106" t="str">
        <f ca="1">IF(COUNTIF(スタメン!I4:I14,"DH")=1,IF(ISBLANK(OFFSET(スタメン!K4,MATCH("DH",スタメン!I4:I14,0)-1,0)),"",OFFSET(スタメン!K4,MATCH("DH",スタメン!I4:I14,0)-1,0)),"")</f>
        <v/>
      </c>
      <c r="K25" s="106"/>
      <c r="L25" s="106"/>
      <c r="M25" s="107"/>
    </row>
    <row r="26" spans="1:18" ht="30" customHeight="1">
      <c r="B26" s="15"/>
      <c r="C26" s="18"/>
      <c r="D26" s="18"/>
      <c r="E26" s="18"/>
      <c r="F26" s="18"/>
    </row>
    <row r="27" spans="1:18" ht="30" customHeight="1"/>
    <row r="28" spans="1:18" ht="30" customHeight="1">
      <c r="K28" s="3" t="s">
        <v>14</v>
      </c>
    </row>
    <row r="29" spans="1:18" ht="30" customHeight="1">
      <c r="K29" s="3" t="s">
        <v>14</v>
      </c>
    </row>
    <row r="30" spans="1:18" ht="30" customHeight="1">
      <c r="K30" s="3" t="s">
        <v>14</v>
      </c>
    </row>
    <row r="31" spans="1:18" ht="30" customHeight="1">
      <c r="K31" s="3" t="s">
        <v>14</v>
      </c>
    </row>
  </sheetData>
  <mergeCells count="67">
    <mergeCell ref="B20:B21"/>
    <mergeCell ref="C20:C21"/>
    <mergeCell ref="D20:D21"/>
    <mergeCell ref="E20:E21"/>
    <mergeCell ref="F20:F21"/>
    <mergeCell ref="B22:B23"/>
    <mergeCell ref="C22:C23"/>
    <mergeCell ref="D22:D23"/>
    <mergeCell ref="E22:E23"/>
    <mergeCell ref="F22:F23"/>
    <mergeCell ref="B18:B19"/>
    <mergeCell ref="C18:C19"/>
    <mergeCell ref="D18:D19"/>
    <mergeCell ref="E18:E19"/>
    <mergeCell ref="F18:F19"/>
    <mergeCell ref="D12:D13"/>
    <mergeCell ref="E12:E13"/>
    <mergeCell ref="F12:F13"/>
    <mergeCell ref="B14:B15"/>
    <mergeCell ref="C14:C15"/>
    <mergeCell ref="D14:D15"/>
    <mergeCell ref="E14:E15"/>
    <mergeCell ref="F14:F15"/>
    <mergeCell ref="B12:B13"/>
    <mergeCell ref="C12:C13"/>
    <mergeCell ref="B10:B11"/>
    <mergeCell ref="C10:C11"/>
    <mergeCell ref="D10:D11"/>
    <mergeCell ref="E10:E11"/>
    <mergeCell ref="F10:F11"/>
    <mergeCell ref="K23:O23"/>
    <mergeCell ref="J25:M25"/>
    <mergeCell ref="B6:B7"/>
    <mergeCell ref="C6:C7"/>
    <mergeCell ref="D6:D7"/>
    <mergeCell ref="E6:E7"/>
    <mergeCell ref="F6:F7"/>
    <mergeCell ref="B8:B9"/>
    <mergeCell ref="L17:N17"/>
    <mergeCell ref="K18:O18"/>
    <mergeCell ref="L22:N22"/>
    <mergeCell ref="I14:K14"/>
    <mergeCell ref="J11:L11"/>
    <mergeCell ref="O11:Q11"/>
    <mergeCell ref="I12:L12"/>
    <mergeCell ref="N12:Q12"/>
    <mergeCell ref="P14:R14"/>
    <mergeCell ref="H15:K15"/>
    <mergeCell ref="O15:R15"/>
    <mergeCell ref="B16:B17"/>
    <mergeCell ref="C16:C17"/>
    <mergeCell ref="D16:D17"/>
    <mergeCell ref="E16:E17"/>
    <mergeCell ref="F16:F17"/>
    <mergeCell ref="I7:K7"/>
    <mergeCell ref="P7:R7"/>
    <mergeCell ref="H8:K8"/>
    <mergeCell ref="O8:R8"/>
    <mergeCell ref="C8:C9"/>
    <mergeCell ref="D8:D9"/>
    <mergeCell ref="E8:E9"/>
    <mergeCell ref="F8:F9"/>
    <mergeCell ref="L5:N5"/>
    <mergeCell ref="K6:O6"/>
    <mergeCell ref="A1:R1"/>
    <mergeCell ref="C2:F2"/>
    <mergeCell ref="J2:Q2"/>
  </mergeCells>
  <phoneticPr fontId="1"/>
  <pageMargins left="0.7" right="0.7" top="0.75" bottom="0.75" header="0.3" footer="0.3"/>
  <pageSetup paperSize="9" scale="61" orientation="landscape" copies="2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2AF2B2-BDDB-4A39-AE86-5FD4DA4EAD63}">
          <x14:formula1>
            <xm:f>date!$A$1:$A$30</xm:f>
          </x14:formula1>
          <xm:sqref>B3 G2 J2</xm:sqref>
        </x14:dataValidation>
        <x14:dataValidation type="list" allowBlank="1" showInputMessage="1" showErrorMessage="1" xr:uid="{CE268AA8-DC5D-4ABD-910A-4D59DFD43723}">
          <x14:formula1>
            <xm:f>date!$B$11:$B$13</xm:f>
          </x14:formula1>
          <xm:sqref>Q17:R17 Q13:R13 Q9:R10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8223-9B82-4780-8CD8-293DAED984E5}">
  <sheetPr>
    <pageSetUpPr fitToPage="1"/>
  </sheetPr>
  <dimension ref="A1:R31"/>
  <sheetViews>
    <sheetView view="pageBreakPreview" zoomScale="70" zoomScaleNormal="75" zoomScaleSheetLayoutView="70" workbookViewId="0">
      <selection activeCell="P33" sqref="P33"/>
    </sheetView>
  </sheetViews>
  <sheetFormatPr baseColWidth="10" defaultColWidth="9" defaultRowHeight="27"/>
  <cols>
    <col min="1" max="1" width="8.5" style="3" customWidth="1"/>
    <col min="2" max="3" width="8.5" style="1" customWidth="1"/>
    <col min="4" max="9" width="8.5" style="3" customWidth="1"/>
    <col min="10" max="11" width="8.5" style="1" customWidth="1"/>
    <col min="12" max="12" width="8.5" style="3" customWidth="1"/>
    <col min="13" max="15" width="7.5" style="3" customWidth="1"/>
    <col min="16" max="16" width="40.5" style="7" customWidth="1"/>
    <col min="17" max="17" width="7.5" style="3" customWidth="1"/>
    <col min="18" max="18" width="8.5" style="3" customWidth="1"/>
    <col min="19" max="16384" width="9" style="3"/>
  </cols>
  <sheetData>
    <row r="1" spans="1:18" ht="44.25" customHeight="1">
      <c r="A1" s="119" t="s">
        <v>18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18" ht="30" customHeight="1">
      <c r="B2" s="20" t="s">
        <v>19</v>
      </c>
      <c r="C2" s="122" t="str">
        <f>スタメン!B3</f>
        <v>ピッツバーグ・パイレーツ</v>
      </c>
      <c r="D2" s="120"/>
      <c r="E2" s="120"/>
      <c r="F2" s="120"/>
      <c r="G2" s="120"/>
      <c r="H2" s="120"/>
      <c r="I2" s="120"/>
      <c r="J2" s="121"/>
      <c r="M2" s="20" t="s">
        <v>16</v>
      </c>
      <c r="N2" s="120" t="str">
        <f>スタメン!H3</f>
        <v>サンディエゴ・パドレス</v>
      </c>
      <c r="O2" s="120"/>
      <c r="P2" s="120"/>
      <c r="Q2" s="121"/>
    </row>
    <row r="3" spans="1:18" s="7" customFormat="1">
      <c r="B3" s="8"/>
      <c r="C3" s="8"/>
      <c r="E3" s="75"/>
      <c r="J3" s="8"/>
      <c r="K3" s="75"/>
    </row>
    <row r="4" spans="1:18" s="7" customFormat="1" ht="60" customHeight="1">
      <c r="B4" s="8"/>
      <c r="C4" s="8"/>
      <c r="J4" s="8"/>
      <c r="K4" s="8"/>
      <c r="L4" s="15"/>
      <c r="M4" s="20"/>
      <c r="N4" s="20" t="s">
        <v>2</v>
      </c>
      <c r="O4" s="6">
        <f>スタメン!J4</f>
        <v>98</v>
      </c>
      <c r="P4" s="41" t="str">
        <f>スタメン!K4</f>
        <v>ランディ・バスケス</v>
      </c>
      <c r="Q4" s="20" t="str">
        <f>スタメン!L4</f>
        <v>R</v>
      </c>
      <c r="R4" s="15"/>
    </row>
    <row r="5" spans="1:18" s="7" customFormat="1" ht="30" customHeight="1">
      <c r="B5" s="8"/>
      <c r="C5" s="8"/>
      <c r="D5" s="30" t="s">
        <v>5</v>
      </c>
      <c r="E5" s="113" t="str">
        <f ca="1">IF(COUNTIF(スタメン!C4:C14,"CF")=1,IF(ISBLANK(OFFSET(スタメン!D4,MATCH("CF",スタメン!C4:C14,0)-1,0)),"",OFFSET(スタメン!D4,MATCH("CF",スタメン!C4:C14,0)-1,0)),"")</f>
        <v/>
      </c>
      <c r="F5" s="113"/>
      <c r="G5" s="113"/>
      <c r="H5" s="113"/>
      <c r="J5" s="8"/>
      <c r="K5" s="8"/>
      <c r="L5" s="15"/>
      <c r="M5" s="2"/>
      <c r="N5" s="2"/>
      <c r="O5" s="2"/>
      <c r="P5" s="42"/>
      <c r="Q5" s="1"/>
      <c r="R5" s="15"/>
    </row>
    <row r="6" spans="1:18" s="7" customFormat="1" ht="30" customHeight="1">
      <c r="C6" s="11"/>
      <c r="D6" s="105" t="str">
        <f ca="1">IF(COUNTIF(スタメン!C4:C14,"CF")=1,IF(ISBLANK(OFFSET(スタメン!E4,MATCH("CF",スタメン!C4:C14,0)-1,0)),"",OFFSET(スタメン!E4,MATCH("CF",スタメン!C4:C14,0)-1,0)),"")</f>
        <v/>
      </c>
      <c r="E6" s="106"/>
      <c r="F6" s="106"/>
      <c r="G6" s="106"/>
      <c r="H6" s="107"/>
      <c r="L6" s="15"/>
      <c r="M6" s="93">
        <v>1</v>
      </c>
      <c r="N6" s="93" t="str">
        <f>スタメン!I6</f>
        <v>LF</v>
      </c>
      <c r="O6" s="93">
        <f>スタメン!J6</f>
        <v>0</v>
      </c>
      <c r="P6" s="124">
        <f>スタメン!K6</f>
        <v>0</v>
      </c>
      <c r="Q6" s="93" t="str">
        <f>スタメン!L6</f>
        <v>L</v>
      </c>
      <c r="R6" s="18"/>
    </row>
    <row r="7" spans="1:18" s="7" customFormat="1" ht="30" customHeight="1">
      <c r="A7" s="23" t="s">
        <v>6</v>
      </c>
      <c r="B7" s="108" t="str">
        <f ca="1">IF(COUNTIF(スタメン!C4:C14,"LF")=1,IF(ISBLANK(OFFSET(スタメン!D4,MATCH("LF",スタメン!C4:C14,0)-1,0)),"",OFFSET(スタメン!D4,MATCH("LF",スタメン!C4:C14,0)-1,0)),"")</f>
        <v/>
      </c>
      <c r="C7" s="108"/>
      <c r="D7" s="108"/>
      <c r="F7" s="8"/>
      <c r="H7" s="23" t="s">
        <v>7</v>
      </c>
      <c r="I7" s="108" t="str">
        <f ca="1">IF(COUNTIF(スタメン!C4:C14,"RF")=1,IF(ISBLANK(OFFSET(スタメン!D4,MATCH("RF",スタメン!C4:C14,0)-1,0)),"",OFFSET(スタメン!D4,MATCH("RF",スタメン!C4:C14,0)-1,0)),"")</f>
        <v/>
      </c>
      <c r="J7" s="108"/>
      <c r="K7" s="108"/>
      <c r="L7" s="14"/>
      <c r="M7" s="123"/>
      <c r="N7" s="123"/>
      <c r="O7" s="123"/>
      <c r="P7" s="125"/>
      <c r="Q7" s="123"/>
      <c r="R7" s="15"/>
    </row>
    <row r="8" spans="1:18" s="7" customFormat="1" ht="30" customHeight="1">
      <c r="A8" s="109" t="str">
        <f ca="1">IF(COUNTIF(スタメン!C4:C14,"LF")=1,IF(ISBLANK(OFFSET(スタメン!E4,MATCH("LF",スタメン!C4:C14,0)-1,0)),"",OFFSET(スタメン!E4,MATCH("LF",スタメン!C4:C14,0)-1,0)),"")</f>
        <v/>
      </c>
      <c r="B8" s="110"/>
      <c r="C8" s="110"/>
      <c r="D8" s="111"/>
      <c r="E8" s="12"/>
      <c r="F8" s="9"/>
      <c r="G8" s="13"/>
      <c r="H8" s="105" t="str">
        <f ca="1">IF(COUNTIF(スタメン!C4:C14,"RF")=1,IF(ISBLANK(OFFSET(スタメン!E4,MATCH("RF",スタメン!C4:C14,0)-1,0)),"",OFFSET(スタメン!E4,MATCH("RF",スタメン!C4:C14,0)-1,0)),"")</f>
        <v/>
      </c>
      <c r="I8" s="106"/>
      <c r="J8" s="106"/>
      <c r="K8" s="107"/>
      <c r="L8" s="18"/>
      <c r="M8" s="93">
        <v>2</v>
      </c>
      <c r="N8" s="93" t="str">
        <f>スタメン!I7</f>
        <v>DH</v>
      </c>
      <c r="O8" s="93">
        <f>スタメン!J7</f>
        <v>0</v>
      </c>
      <c r="P8" s="124">
        <f>スタメン!K7</f>
        <v>0</v>
      </c>
      <c r="Q8" s="93" t="str">
        <f>スタメン!L7</f>
        <v>L</v>
      </c>
      <c r="R8" s="18"/>
    </row>
    <row r="9" spans="1:18" s="7" customFormat="1" ht="30" customHeight="1">
      <c r="B9" s="8"/>
      <c r="C9" s="8"/>
      <c r="D9" s="9"/>
      <c r="E9" s="9"/>
      <c r="F9" s="9"/>
      <c r="G9" s="9"/>
      <c r="H9" s="9"/>
      <c r="J9" s="8"/>
      <c r="K9" s="8"/>
      <c r="L9" s="15"/>
      <c r="M9" s="123"/>
      <c r="N9" s="123"/>
      <c r="O9" s="123"/>
      <c r="P9" s="125"/>
      <c r="Q9" s="123"/>
      <c r="R9" s="9"/>
    </row>
    <row r="10" spans="1:18" s="7" customFormat="1" ht="30" customHeight="1">
      <c r="B10" s="8"/>
      <c r="C10" s="8"/>
      <c r="D10" s="9"/>
      <c r="E10" s="9"/>
      <c r="F10" s="9"/>
      <c r="G10" s="9"/>
      <c r="H10" s="9"/>
      <c r="J10" s="8"/>
      <c r="K10" s="8"/>
      <c r="L10" s="15"/>
      <c r="M10" s="93">
        <v>3</v>
      </c>
      <c r="N10" s="93" t="str">
        <f>スタメン!I8</f>
        <v>3B</v>
      </c>
      <c r="O10" s="93">
        <f>スタメン!J8</f>
        <v>0</v>
      </c>
      <c r="P10" s="124">
        <f>スタメン!K8</f>
        <v>0</v>
      </c>
      <c r="Q10" s="93" t="str">
        <f>スタメン!L8</f>
        <v>R</v>
      </c>
      <c r="R10" s="9"/>
    </row>
    <row r="11" spans="1:18" s="7" customFormat="1" ht="30" customHeight="1">
      <c r="B11" s="23" t="s">
        <v>8</v>
      </c>
      <c r="C11" s="108" t="str">
        <f ca="1">IF(COUNTIF(スタメン!C4:C14,"SS")=1,IF(ISBLANK(OFFSET(スタメン!D4,MATCH("SS",スタメン!C4:C14,0)-1,0)),"",OFFSET(スタメン!D4,MATCH("SS",スタメン!C4:C14,0)-1,0)),"")</f>
        <v/>
      </c>
      <c r="D11" s="108"/>
      <c r="E11" s="108"/>
      <c r="F11" s="9"/>
      <c r="G11" s="24" t="s">
        <v>9</v>
      </c>
      <c r="H11" s="113" t="str">
        <f ca="1">IF(COUNTIF(スタメン!C4:C14,"2B")=1,IF(ISBLANK(OFFSET(スタメン!D4,MATCH("2B",スタメン!C4:C14,0)-1,0)),"",OFFSET(スタメン!D4,MATCH("2B",スタメン!C4:C14,0)-1,0)),"")</f>
        <v/>
      </c>
      <c r="I11" s="113"/>
      <c r="J11" s="113"/>
      <c r="K11" s="15"/>
      <c r="L11" s="15"/>
      <c r="M11" s="123"/>
      <c r="N11" s="123"/>
      <c r="O11" s="123"/>
      <c r="P11" s="125"/>
      <c r="Q11" s="123"/>
      <c r="R11" s="14"/>
    </row>
    <row r="12" spans="1:18" s="7" customFormat="1" ht="30" customHeight="1">
      <c r="A12" s="13"/>
      <c r="B12" s="114" t="str">
        <f ca="1">IF(COUNTIF(スタメン!C4:C14,"SS")=1,IF(ISBLANK(OFFSET(スタメン!E4,MATCH("SS",スタメン!C4:C14,0)-1,0)),"",OFFSET(スタメン!E4,MATCH("SS",スタメン!C4:C14,0)-1,0)),"")</f>
        <v/>
      </c>
      <c r="C12" s="115"/>
      <c r="D12" s="115"/>
      <c r="E12" s="117"/>
      <c r="F12" s="9"/>
      <c r="G12" s="103" t="str">
        <f ca="1">IF(COUNTIF(スタメン!C4:C14,"2B")=1,IF(ISBLANK(OFFSET(スタメン!E4,MATCH("2B",スタメン!C4:C14,0)-1,0)),"",OFFSET(スタメン!E4,MATCH("2B",スタメン!C4:C14,0)-1,0)),"")</f>
        <v/>
      </c>
      <c r="H12" s="104"/>
      <c r="I12" s="104"/>
      <c r="J12" s="104"/>
      <c r="K12" s="16"/>
      <c r="L12" s="18"/>
      <c r="M12" s="93">
        <v>4</v>
      </c>
      <c r="N12" s="93" t="str">
        <f>スタメン!I9</f>
        <v>RF</v>
      </c>
      <c r="O12" s="93">
        <f>スタメン!J9</f>
        <v>0</v>
      </c>
      <c r="P12" s="124">
        <f>スタメン!K9</f>
        <v>0</v>
      </c>
      <c r="Q12" s="93" t="str">
        <f>スタメン!L9</f>
        <v>L</v>
      </c>
      <c r="R12" s="18"/>
    </row>
    <row r="13" spans="1:18" s="7" customFormat="1" ht="30" customHeight="1">
      <c r="B13" s="8"/>
      <c r="C13" s="8"/>
      <c r="D13" s="9"/>
      <c r="E13" s="9"/>
      <c r="F13" s="9"/>
      <c r="G13" s="9"/>
      <c r="H13" s="9"/>
      <c r="J13" s="8"/>
      <c r="K13" s="8"/>
      <c r="L13" s="15"/>
      <c r="M13" s="123"/>
      <c r="N13" s="123"/>
      <c r="O13" s="123"/>
      <c r="P13" s="125"/>
      <c r="Q13" s="123"/>
      <c r="R13" s="9"/>
    </row>
    <row r="14" spans="1:18" s="7" customFormat="1" ht="30" customHeight="1">
      <c r="A14" s="23" t="s">
        <v>10</v>
      </c>
      <c r="B14" s="108" t="str">
        <f ca="1">IF(COUNTIF(スタメン!C4:C14,"3B")=1,IF(ISBLANK(OFFSET(スタメン!D4,MATCH("3B",スタメン!C4:C14,0)-1,0)),"",OFFSET(スタメン!D4,MATCH("3B",スタメン!C4:C14,0)-1,0)),"")</f>
        <v/>
      </c>
      <c r="C14" s="108"/>
      <c r="D14" s="108"/>
      <c r="E14" s="9"/>
      <c r="F14" s="9"/>
      <c r="G14" s="9"/>
      <c r="H14" s="24" t="s">
        <v>11</v>
      </c>
      <c r="I14" s="113" t="str">
        <f ca="1">IF(COUNTIF(スタメン!C4:C14,"1B")=1,IF(ISBLANK(OFFSET(スタメン!D4,MATCH("1B",スタメン!C4:C14,0)-1,0)),"",OFFSET(スタメン!D4,MATCH("1B",スタメン!C4:C14,0)-1,0)),"")</f>
        <v/>
      </c>
      <c r="J14" s="113"/>
      <c r="K14" s="113"/>
      <c r="L14" s="14"/>
      <c r="M14" s="93">
        <v>5</v>
      </c>
      <c r="N14" s="93" t="str">
        <f>スタメン!I10</f>
        <v>SS</v>
      </c>
      <c r="O14" s="93">
        <f>スタメン!J10</f>
        <v>0</v>
      </c>
      <c r="P14" s="124">
        <f>スタメン!K10</f>
        <v>0</v>
      </c>
      <c r="Q14" s="93" t="str">
        <f>スタメン!L10</f>
        <v>R</v>
      </c>
      <c r="R14" s="9"/>
    </row>
    <row r="15" spans="1:18" s="7" customFormat="1" ht="30" customHeight="1">
      <c r="A15" s="109" t="str">
        <f ca="1">IF(COUNTIF(スタメン!C4:C14,"3B")=1,IF(ISBLANK(OFFSET(スタメン!E4,MATCH("3B",スタメン!C4:C14,0)-1,0)),"",OFFSET(スタメン!E4,MATCH("3B",スタメン!C4:C14,0)-1,0)),"")</f>
        <v/>
      </c>
      <c r="B15" s="110"/>
      <c r="C15" s="110"/>
      <c r="D15" s="110"/>
      <c r="E15" s="12"/>
      <c r="F15" s="9"/>
      <c r="G15" s="13"/>
      <c r="H15" s="105" t="str">
        <f ca="1">IF(COUNTIF(スタメン!C4:C14,"1B")=1,IF(ISBLANK(OFFSET(スタメン!E4,MATCH("1B",スタメン!C4:C14,0)-1,0)),"",OFFSET(スタメン!E4,MATCH("1B",スタメン!C4:C14,0)-1,0)),"")</f>
        <v/>
      </c>
      <c r="I15" s="106"/>
      <c r="J15" s="106"/>
      <c r="K15" s="107"/>
      <c r="L15" s="18"/>
      <c r="M15" s="123"/>
      <c r="N15" s="123"/>
      <c r="O15" s="123"/>
      <c r="P15" s="125"/>
      <c r="Q15" s="123"/>
      <c r="R15" s="18"/>
    </row>
    <row r="16" spans="1:18" s="7" customFormat="1" ht="30" customHeight="1">
      <c r="A16" s="10"/>
      <c r="B16" s="10"/>
      <c r="C16" s="10"/>
      <c r="D16" s="10"/>
      <c r="E16" s="17"/>
      <c r="F16" s="9"/>
      <c r="G16" s="18"/>
      <c r="H16" s="9"/>
      <c r="I16" s="9"/>
      <c r="J16" s="9"/>
      <c r="K16" s="9"/>
      <c r="L16" s="9"/>
      <c r="M16" s="93">
        <v>6</v>
      </c>
      <c r="N16" s="93" t="str">
        <f>スタメン!I11</f>
        <v>1B</v>
      </c>
      <c r="O16" s="93">
        <f>スタメン!J11</f>
        <v>0</v>
      </c>
      <c r="P16" s="124">
        <f>スタメン!K11</f>
        <v>0</v>
      </c>
      <c r="Q16" s="93" t="str">
        <f>スタメン!L11</f>
        <v>S</v>
      </c>
      <c r="R16" s="9"/>
    </row>
    <row r="17" spans="1:18" s="7" customFormat="1" ht="30" customHeight="1">
      <c r="B17" s="8"/>
      <c r="C17" s="8"/>
      <c r="D17" s="30" t="s">
        <v>2</v>
      </c>
      <c r="E17" s="113">
        <f>スタメン!D4</f>
        <v>45</v>
      </c>
      <c r="F17" s="113"/>
      <c r="G17" s="113"/>
      <c r="H17" s="9"/>
      <c r="J17" s="8"/>
      <c r="K17" s="8"/>
      <c r="L17" s="15"/>
      <c r="M17" s="123"/>
      <c r="N17" s="123"/>
      <c r="O17" s="123"/>
      <c r="P17" s="125"/>
      <c r="Q17" s="123"/>
      <c r="R17" s="15"/>
    </row>
    <row r="18" spans="1:18" s="7" customFormat="1" ht="30" customHeight="1">
      <c r="B18" s="8"/>
      <c r="C18" s="8"/>
      <c r="D18" s="109" t="str">
        <f>スタメン!E4</f>
        <v>アンドリュー・ヒーニー</v>
      </c>
      <c r="E18" s="110"/>
      <c r="F18" s="110"/>
      <c r="G18" s="110"/>
      <c r="H18" s="111"/>
      <c r="J18" s="8"/>
      <c r="K18" s="8"/>
      <c r="L18" s="15"/>
      <c r="M18" s="93">
        <v>7</v>
      </c>
      <c r="N18" s="93" t="str">
        <f>スタメン!I12</f>
        <v>2B</v>
      </c>
      <c r="O18" s="93">
        <f>スタメン!J12</f>
        <v>0</v>
      </c>
      <c r="P18" s="124">
        <f>スタメン!K12</f>
        <v>0</v>
      </c>
      <c r="Q18" s="93" t="str">
        <f>スタメン!L12</f>
        <v>L</v>
      </c>
      <c r="R18" s="18"/>
    </row>
    <row r="19" spans="1:18" s="7" customFormat="1" ht="30" customHeight="1">
      <c r="B19" s="8"/>
      <c r="C19" s="8"/>
      <c r="J19" s="8"/>
      <c r="K19" s="8"/>
      <c r="L19" s="15"/>
      <c r="M19" s="123"/>
      <c r="N19" s="123"/>
      <c r="O19" s="123"/>
      <c r="P19" s="125"/>
      <c r="Q19" s="123"/>
      <c r="R19" s="15"/>
    </row>
    <row r="20" spans="1:18" s="7" customFormat="1" ht="30" customHeight="1">
      <c r="B20" s="8"/>
      <c r="C20" s="8"/>
      <c r="J20" s="8"/>
      <c r="K20" s="8"/>
      <c r="L20" s="15"/>
      <c r="M20" s="93">
        <v>8</v>
      </c>
      <c r="N20" s="93" t="str">
        <f>スタメン!I13</f>
        <v>C</v>
      </c>
      <c r="O20" s="93">
        <f>スタメン!J13</f>
        <v>0</v>
      </c>
      <c r="P20" s="124">
        <f>スタメン!K13</f>
        <v>0</v>
      </c>
      <c r="Q20" s="93" t="str">
        <f>スタメン!L13</f>
        <v>R</v>
      </c>
      <c r="R20" s="15"/>
    </row>
    <row r="21" spans="1:18" s="7" customFormat="1" ht="30" customHeight="1">
      <c r="B21" s="8"/>
      <c r="C21" s="8"/>
      <c r="J21" s="8"/>
      <c r="K21" s="8"/>
      <c r="L21" s="15"/>
      <c r="M21" s="123"/>
      <c r="N21" s="123"/>
      <c r="O21" s="123"/>
      <c r="P21" s="125"/>
      <c r="Q21" s="123"/>
      <c r="R21" s="15"/>
    </row>
    <row r="22" spans="1:18" s="7" customFormat="1" ht="30" customHeight="1">
      <c r="B22" s="8"/>
      <c r="C22" s="8"/>
      <c r="D22" s="31" t="s">
        <v>12</v>
      </c>
      <c r="E22" s="108" t="str">
        <f ca="1">IF(COUNTIF(スタメン!C4:C14,"C")=1,IF(ISBLANK(OFFSET(スタメン!D4,MATCH("C",スタメン!C4:C14,0)-1,0)),"",OFFSET(スタメン!D4,MATCH("C",スタメン!C4:C14,0)-1,0)),"")</f>
        <v/>
      </c>
      <c r="F22" s="108"/>
      <c r="G22" s="108"/>
      <c r="J22" s="8"/>
      <c r="K22" s="8"/>
      <c r="L22" s="15"/>
      <c r="M22" s="93">
        <v>9</v>
      </c>
      <c r="N22" s="93" t="str">
        <f>スタメン!I14</f>
        <v>CF</v>
      </c>
      <c r="O22" s="93">
        <f>スタメン!J14</f>
        <v>0</v>
      </c>
      <c r="P22" s="124">
        <f>スタメン!K14</f>
        <v>0</v>
      </c>
      <c r="Q22" s="93" t="str">
        <f>スタメン!L14</f>
        <v>R</v>
      </c>
      <c r="R22" s="15"/>
    </row>
    <row r="23" spans="1:18" s="7" customFormat="1" ht="30" customHeight="1">
      <c r="B23" s="8"/>
      <c r="C23" s="8"/>
      <c r="D23" s="105" t="str">
        <f ca="1">IF(COUNTIF(スタメン!C4:C14,"C")=1,IF(ISBLANK(OFFSET(スタメン!E4,MATCH("C",スタメン!C4:C14,0)-1,0)),"",OFFSET(スタメン!E4,MATCH("C",スタメン!C4:C14,0)-1,0)),"")</f>
        <v/>
      </c>
      <c r="E23" s="106"/>
      <c r="F23" s="106"/>
      <c r="G23" s="106"/>
      <c r="H23" s="107"/>
      <c r="J23" s="8"/>
      <c r="K23" s="8"/>
      <c r="L23" s="15"/>
      <c r="M23" s="123"/>
      <c r="N23" s="123"/>
      <c r="O23" s="123"/>
      <c r="P23" s="125"/>
      <c r="Q23" s="123"/>
      <c r="R23" s="18"/>
    </row>
    <row r="24" spans="1:18" ht="30" customHeight="1">
      <c r="L24" s="35"/>
      <c r="M24" s="35"/>
      <c r="N24" s="35"/>
      <c r="O24" s="35"/>
      <c r="P24" s="15"/>
      <c r="Q24" s="35"/>
      <c r="R24" s="35"/>
    </row>
    <row r="25" spans="1:18" ht="30" customHeight="1">
      <c r="A25" s="19" t="s">
        <v>13</v>
      </c>
      <c r="B25" s="32" t="str">
        <f ca="1">IF(COUNTIF(スタメン!C4:C14,"DH")=1,IF(ISBLANK(OFFSET(スタメン!D4,MATCH("DH",スタメン!C4:C14,0)-1,0)),"",OFFSET(スタメン!D4,MATCH("DH",スタメン!C4:C14,0)-1,0)),"")</f>
        <v/>
      </c>
      <c r="C25" s="106" t="str">
        <f ca="1">IF(COUNTIF(スタメン!C4:C14,"DH")=1,IF(ISBLANK(OFFSET(スタメン!E4,MATCH("DH",スタメン!C4:C14,0)-1,0)),"",OFFSET(スタメン!E4,MATCH("DH",スタメン!C4:C14,0)-1,0)),"")</f>
        <v/>
      </c>
      <c r="D25" s="106"/>
      <c r="E25" s="106"/>
      <c r="F25" s="107"/>
      <c r="L25" s="36"/>
      <c r="M25" s="15"/>
      <c r="N25" s="18"/>
      <c r="O25" s="18"/>
      <c r="P25" s="18"/>
      <c r="Q25" s="18"/>
      <c r="R25" s="35"/>
    </row>
    <row r="26" spans="1:18" ht="30" customHeight="1"/>
    <row r="27" spans="1:18" ht="30" customHeight="1"/>
    <row r="28" spans="1:18" ht="30" customHeight="1">
      <c r="O28" s="3" t="s">
        <v>14</v>
      </c>
    </row>
    <row r="29" spans="1:18" ht="30" customHeight="1">
      <c r="O29" s="3" t="s">
        <v>14</v>
      </c>
    </row>
    <row r="30" spans="1:18" ht="30" customHeight="1">
      <c r="O30" s="3" t="s">
        <v>14</v>
      </c>
    </row>
    <row r="31" spans="1:18" ht="30" customHeight="1">
      <c r="O31" s="3" t="s">
        <v>14</v>
      </c>
    </row>
  </sheetData>
  <mergeCells count="67">
    <mergeCell ref="M20:M21"/>
    <mergeCell ref="N20:N21"/>
    <mergeCell ref="O20:O21"/>
    <mergeCell ref="P20:P21"/>
    <mergeCell ref="Q20:Q21"/>
    <mergeCell ref="M22:M23"/>
    <mergeCell ref="N22:N23"/>
    <mergeCell ref="O22:O23"/>
    <mergeCell ref="P22:P23"/>
    <mergeCell ref="Q22:Q23"/>
    <mergeCell ref="O14:O15"/>
    <mergeCell ref="P14:P15"/>
    <mergeCell ref="Q14:Q15"/>
    <mergeCell ref="Q16:Q17"/>
    <mergeCell ref="M18:M19"/>
    <mergeCell ref="N18:N19"/>
    <mergeCell ref="O18:O19"/>
    <mergeCell ref="P18:P19"/>
    <mergeCell ref="Q18:Q19"/>
    <mergeCell ref="O16:O17"/>
    <mergeCell ref="P16:P17"/>
    <mergeCell ref="O8:O9"/>
    <mergeCell ref="O12:O13"/>
    <mergeCell ref="P8:P9"/>
    <mergeCell ref="Q8:Q9"/>
    <mergeCell ref="M10:M11"/>
    <mergeCell ref="N10:N11"/>
    <mergeCell ref="O10:O11"/>
    <mergeCell ref="P10:P11"/>
    <mergeCell ref="Q10:Q11"/>
    <mergeCell ref="P12:P13"/>
    <mergeCell ref="Q12:Q13"/>
    <mergeCell ref="M8:M9"/>
    <mergeCell ref="D23:H23"/>
    <mergeCell ref="C25:F25"/>
    <mergeCell ref="M6:M7"/>
    <mergeCell ref="N6:N7"/>
    <mergeCell ref="E22:G22"/>
    <mergeCell ref="G12:J12"/>
    <mergeCell ref="M12:M13"/>
    <mergeCell ref="N12:N13"/>
    <mergeCell ref="B7:D7"/>
    <mergeCell ref="I7:K7"/>
    <mergeCell ref="A8:D8"/>
    <mergeCell ref="H8:K8"/>
    <mergeCell ref="N8:N9"/>
    <mergeCell ref="M14:M15"/>
    <mergeCell ref="N14:N15"/>
    <mergeCell ref="E17:G17"/>
    <mergeCell ref="D18:H18"/>
    <mergeCell ref="M16:M17"/>
    <mergeCell ref="N16:N17"/>
    <mergeCell ref="C11:E11"/>
    <mergeCell ref="H11:J11"/>
    <mergeCell ref="B12:E12"/>
    <mergeCell ref="B14:D14"/>
    <mergeCell ref="I14:K14"/>
    <mergeCell ref="A15:D15"/>
    <mergeCell ref="H15:K15"/>
    <mergeCell ref="E5:H5"/>
    <mergeCell ref="A1:R1"/>
    <mergeCell ref="D6:H6"/>
    <mergeCell ref="P6:P7"/>
    <mergeCell ref="Q6:Q7"/>
    <mergeCell ref="O6:O7"/>
    <mergeCell ref="N2:Q2"/>
    <mergeCell ref="C2:J2"/>
  </mergeCells>
  <phoneticPr fontId="1"/>
  <pageMargins left="0.7" right="0.7" top="0.75" bottom="0.75" header="0.3" footer="0.3"/>
  <pageSetup paperSize="9" scale="61" orientation="landscape" copies="2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EEE782-02BB-42A0-BF2C-8F150CA20820}">
          <x14:formula1>
            <xm:f>date!$B$11:$B$13</xm:f>
          </x14:formula1>
          <xm:sqref>J9:K10 Q4 J13:K13 J17:K17</xm:sqref>
        </x14:dataValidation>
        <x14:dataValidation type="list" allowBlank="1" showInputMessage="1" showErrorMessage="1" xr:uid="{4CAEC861-3E05-4792-BEB1-A8D2FD95E258}">
          <x14:formula1>
            <xm:f>date!$A$1:$A$30</xm:f>
          </x14:formula1>
          <xm:sqref>R2 K2 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86F5-7A03-414D-928D-34795DA861BE}">
  <sheetPr>
    <pageSetUpPr fitToPage="1"/>
  </sheetPr>
  <dimension ref="B1:W35"/>
  <sheetViews>
    <sheetView zoomScale="50" zoomScaleNormal="50" workbookViewId="0">
      <selection activeCell="C18" sqref="C18"/>
    </sheetView>
  </sheetViews>
  <sheetFormatPr baseColWidth="10" defaultColWidth="9" defaultRowHeight="27"/>
  <cols>
    <col min="1" max="2" width="10.6640625" style="3" customWidth="1"/>
    <col min="3" max="4" width="10.6640625" style="1" customWidth="1"/>
    <col min="5" max="9" width="10.6640625" style="3" customWidth="1"/>
    <col min="10" max="10" width="10.6640625" style="1" customWidth="1"/>
    <col min="11" max="18" width="10.6640625" style="3" customWidth="1"/>
    <col min="19" max="19" width="10.6640625" style="1" customWidth="1"/>
    <col min="20" max="20" width="10.6640625" style="3" customWidth="1"/>
    <col min="21" max="21" width="10.6640625" style="7" customWidth="1"/>
    <col min="22" max="16384" width="9" style="3"/>
  </cols>
  <sheetData>
    <row r="1" spans="3:21">
      <c r="C1" s="100" t="str">
        <f>スタメン!B1</f>
        <v xml:space="preserve"> 6/1 5:10pm  ET.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3:21" ht="44.25" customHeight="1">
      <c r="C2" s="94" t="str">
        <f>スタメン!B2</f>
        <v>ペトコ・パーク</v>
      </c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3:21" ht="30" customHeight="1">
      <c r="C3" s="122" t="str">
        <f>スタメン!B3</f>
        <v>ピッツバーグ・パイレーツ</v>
      </c>
      <c r="D3" s="120"/>
      <c r="E3" s="120"/>
      <c r="F3" s="120"/>
      <c r="G3" s="120"/>
      <c r="H3" s="120"/>
      <c r="I3" s="120"/>
      <c r="J3" s="121"/>
      <c r="L3" s="92" t="str">
        <f>スタメン!H3</f>
        <v>サンディエゴ・パドレス</v>
      </c>
      <c r="M3" s="92"/>
      <c r="N3" s="92"/>
      <c r="O3" s="92"/>
      <c r="P3" s="92"/>
      <c r="Q3" s="92"/>
      <c r="R3" s="92"/>
      <c r="S3" s="92"/>
    </row>
    <row r="4" spans="3:21" ht="35.25" customHeight="1">
      <c r="C4" s="20"/>
      <c r="D4" s="20" t="s">
        <v>2</v>
      </c>
      <c r="E4" s="6">
        <f>スタメン!D4</f>
        <v>45</v>
      </c>
      <c r="F4" s="128" t="str">
        <f>スタメン!E4</f>
        <v>アンドリュー・ヒーニー</v>
      </c>
      <c r="G4" s="129"/>
      <c r="H4" s="129"/>
      <c r="I4" s="130"/>
      <c r="J4" s="20" t="str">
        <f>スタメン!F4</f>
        <v>L</v>
      </c>
      <c r="L4" s="20"/>
      <c r="M4" s="20" t="s">
        <v>2</v>
      </c>
      <c r="N4" s="6">
        <f>スタメン!J4</f>
        <v>98</v>
      </c>
      <c r="O4" s="128" t="str">
        <f>スタメン!K4</f>
        <v>ランディ・バスケス</v>
      </c>
      <c r="P4" s="129"/>
      <c r="Q4" s="129"/>
      <c r="R4" s="130"/>
      <c r="S4" s="20" t="str">
        <f>スタメン!L4</f>
        <v>R</v>
      </c>
    </row>
    <row r="5" spans="3:21" ht="30" customHeight="1">
      <c r="C5" s="120"/>
      <c r="D5" s="120"/>
      <c r="E5" s="120"/>
      <c r="F5" s="120"/>
      <c r="G5" s="120"/>
      <c r="H5" s="120"/>
      <c r="I5" s="120"/>
      <c r="J5" s="120"/>
      <c r="L5" s="120"/>
      <c r="M5" s="120"/>
      <c r="N5" s="120"/>
      <c r="O5" s="120"/>
      <c r="P5" s="120"/>
      <c r="Q5" s="120"/>
      <c r="R5" s="120"/>
      <c r="S5" s="120"/>
      <c r="U5" s="37"/>
    </row>
    <row r="6" spans="3:21" ht="40" customHeight="1">
      <c r="C6" s="20">
        <v>1</v>
      </c>
      <c r="D6" s="20" t="str">
        <f>スタメン!C6</f>
        <v>SS</v>
      </c>
      <c r="E6" s="6">
        <f>スタメン!D6</f>
        <v>0</v>
      </c>
      <c r="F6" s="128">
        <f>スタメン!E6</f>
        <v>0</v>
      </c>
      <c r="G6" s="129"/>
      <c r="H6" s="129"/>
      <c r="I6" s="130"/>
      <c r="J6" s="20" t="str">
        <f>スタメン!F6</f>
        <v>S</v>
      </c>
      <c r="L6" s="20">
        <v>1</v>
      </c>
      <c r="M6" s="20" t="str">
        <f>スタメン!I6</f>
        <v>LF</v>
      </c>
      <c r="N6" s="6">
        <f>スタメン!J6</f>
        <v>0</v>
      </c>
      <c r="O6" s="128">
        <f>スタメン!K6</f>
        <v>0</v>
      </c>
      <c r="P6" s="129"/>
      <c r="Q6" s="129"/>
      <c r="R6" s="130"/>
      <c r="S6" s="20" t="str">
        <f>スタメン!L6</f>
        <v>L</v>
      </c>
      <c r="U6" s="37"/>
    </row>
    <row r="7" spans="3:21" ht="40" customHeight="1">
      <c r="C7" s="20">
        <v>2</v>
      </c>
      <c r="D7" s="20" t="str">
        <f>スタメン!C7</f>
        <v>RF</v>
      </c>
      <c r="E7" s="6">
        <f>スタメン!D7</f>
        <v>0</v>
      </c>
      <c r="F7" s="128">
        <f>スタメン!E7</f>
        <v>0</v>
      </c>
      <c r="G7" s="129"/>
      <c r="H7" s="129"/>
      <c r="I7" s="130"/>
      <c r="J7" s="20" t="str">
        <f>スタメン!F7</f>
        <v>L</v>
      </c>
      <c r="L7" s="20">
        <v>2</v>
      </c>
      <c r="M7" s="20" t="str">
        <f>スタメン!I7</f>
        <v>DH</v>
      </c>
      <c r="N7" s="6">
        <f>スタメン!J7</f>
        <v>0</v>
      </c>
      <c r="O7" s="128">
        <f>スタメン!K7</f>
        <v>0</v>
      </c>
      <c r="P7" s="129"/>
      <c r="Q7" s="129"/>
      <c r="R7" s="130"/>
      <c r="S7" s="20" t="str">
        <f>スタメン!L7</f>
        <v>L</v>
      </c>
      <c r="U7" s="37"/>
    </row>
    <row r="8" spans="3:21" ht="40" customHeight="1">
      <c r="C8" s="20">
        <v>3</v>
      </c>
      <c r="D8" s="20" t="str">
        <f>スタメン!C8</f>
        <v>1B</v>
      </c>
      <c r="E8" s="6">
        <f>スタメン!D8</f>
        <v>0</v>
      </c>
      <c r="F8" s="128">
        <f>スタメン!E8</f>
        <v>0</v>
      </c>
      <c r="G8" s="129"/>
      <c r="H8" s="129"/>
      <c r="I8" s="130"/>
      <c r="J8" s="20" t="str">
        <f>スタメン!F8</f>
        <v>R</v>
      </c>
      <c r="L8" s="20">
        <v>3</v>
      </c>
      <c r="M8" s="20" t="str">
        <f>スタメン!I8</f>
        <v>3B</v>
      </c>
      <c r="N8" s="6">
        <f>スタメン!J8</f>
        <v>0</v>
      </c>
      <c r="O8" s="128">
        <f>スタメン!K8</f>
        <v>0</v>
      </c>
      <c r="P8" s="129"/>
      <c r="Q8" s="129"/>
      <c r="R8" s="130"/>
      <c r="S8" s="20" t="str">
        <f>スタメン!L8</f>
        <v>R</v>
      </c>
      <c r="U8" s="37"/>
    </row>
    <row r="9" spans="3:21" ht="40" customHeight="1">
      <c r="C9" s="20">
        <v>4</v>
      </c>
      <c r="D9" s="20" t="str">
        <f>スタメン!C9</f>
        <v>LF</v>
      </c>
      <c r="E9" s="6">
        <f>スタメン!D9</f>
        <v>0</v>
      </c>
      <c r="F9" s="128">
        <f>スタメン!E9</f>
        <v>0</v>
      </c>
      <c r="G9" s="129"/>
      <c r="H9" s="129"/>
      <c r="I9" s="130"/>
      <c r="J9" s="20" t="str">
        <f>スタメン!F9</f>
        <v>L</v>
      </c>
      <c r="L9" s="20">
        <v>4</v>
      </c>
      <c r="M9" s="20" t="str">
        <f>スタメン!I9</f>
        <v>RF</v>
      </c>
      <c r="N9" s="6">
        <f>スタメン!J9</f>
        <v>0</v>
      </c>
      <c r="O9" s="128">
        <f>スタメン!K9</f>
        <v>0</v>
      </c>
      <c r="P9" s="129"/>
      <c r="Q9" s="129"/>
      <c r="R9" s="130"/>
      <c r="S9" s="20" t="str">
        <f>スタメン!L9</f>
        <v>L</v>
      </c>
      <c r="U9" s="37"/>
    </row>
    <row r="10" spans="3:21" ht="40" customHeight="1">
      <c r="C10" s="20">
        <v>5</v>
      </c>
      <c r="D10" s="20" t="str">
        <f>スタメン!C10</f>
        <v>DH</v>
      </c>
      <c r="E10" s="6">
        <f>スタメン!D10</f>
        <v>0</v>
      </c>
      <c r="F10" s="128">
        <f>スタメン!E10</f>
        <v>0</v>
      </c>
      <c r="G10" s="129"/>
      <c r="H10" s="129"/>
      <c r="I10" s="130"/>
      <c r="J10" s="20" t="str">
        <f>スタメン!F10</f>
        <v>R</v>
      </c>
      <c r="L10" s="20">
        <v>5</v>
      </c>
      <c r="M10" s="20" t="str">
        <f>スタメン!I10</f>
        <v>SS</v>
      </c>
      <c r="N10" s="6">
        <f>スタメン!J10</f>
        <v>0</v>
      </c>
      <c r="O10" s="128">
        <f>スタメン!K10</f>
        <v>0</v>
      </c>
      <c r="P10" s="129"/>
      <c r="Q10" s="129"/>
      <c r="R10" s="130"/>
      <c r="S10" s="20" t="str">
        <f>スタメン!L10</f>
        <v>R</v>
      </c>
      <c r="U10" s="37"/>
    </row>
    <row r="11" spans="3:21" ht="40" customHeight="1">
      <c r="C11" s="20">
        <v>6</v>
      </c>
      <c r="D11" s="20" t="str">
        <f>スタメン!C11</f>
        <v>3B</v>
      </c>
      <c r="E11" s="6">
        <f>スタメン!D11</f>
        <v>0</v>
      </c>
      <c r="F11" s="128">
        <f>スタメン!E11</f>
        <v>0</v>
      </c>
      <c r="G11" s="129"/>
      <c r="H11" s="129"/>
      <c r="I11" s="130"/>
      <c r="J11" s="20" t="str">
        <f>スタメン!F11</f>
        <v>L</v>
      </c>
      <c r="L11" s="20">
        <v>6</v>
      </c>
      <c r="M11" s="20" t="str">
        <f>スタメン!I11</f>
        <v>1B</v>
      </c>
      <c r="N11" s="6">
        <f>スタメン!J11</f>
        <v>0</v>
      </c>
      <c r="O11" s="128">
        <f>スタメン!K11</f>
        <v>0</v>
      </c>
      <c r="P11" s="129"/>
      <c r="Q11" s="129"/>
      <c r="R11" s="130"/>
      <c r="S11" s="20" t="str">
        <f>スタメン!L11</f>
        <v>S</v>
      </c>
      <c r="U11" s="37"/>
    </row>
    <row r="12" spans="3:21" ht="40" customHeight="1">
      <c r="C12" s="20">
        <v>7</v>
      </c>
      <c r="D12" s="20" t="str">
        <f>スタメン!C12</f>
        <v>C</v>
      </c>
      <c r="E12" s="6">
        <f>スタメン!D12</f>
        <v>0</v>
      </c>
      <c r="F12" s="128">
        <f>スタメン!E12</f>
        <v>0</v>
      </c>
      <c r="G12" s="129"/>
      <c r="H12" s="129"/>
      <c r="I12" s="130"/>
      <c r="J12" s="20" t="str">
        <f>スタメン!F12</f>
        <v>R</v>
      </c>
      <c r="L12" s="20">
        <v>7</v>
      </c>
      <c r="M12" s="20" t="str">
        <f>スタメン!I12</f>
        <v>2B</v>
      </c>
      <c r="N12" s="6">
        <f>スタメン!J12</f>
        <v>0</v>
      </c>
      <c r="O12" s="128">
        <f>スタメン!K12</f>
        <v>0</v>
      </c>
      <c r="P12" s="129"/>
      <c r="Q12" s="129"/>
      <c r="R12" s="130"/>
      <c r="S12" s="20" t="str">
        <f>スタメン!L12</f>
        <v>L</v>
      </c>
      <c r="U12" s="37"/>
    </row>
    <row r="13" spans="3:21" ht="40" customHeight="1">
      <c r="C13" s="20">
        <v>8</v>
      </c>
      <c r="D13" s="20" t="str">
        <f>スタメン!C13</f>
        <v>2B</v>
      </c>
      <c r="E13" s="6">
        <f>スタメン!D13</f>
        <v>0</v>
      </c>
      <c r="F13" s="128">
        <f>スタメン!E13</f>
        <v>0</v>
      </c>
      <c r="G13" s="129"/>
      <c r="H13" s="129"/>
      <c r="I13" s="130"/>
      <c r="J13" s="20" t="str">
        <f>スタメン!F13</f>
        <v>L</v>
      </c>
      <c r="L13" s="20">
        <v>8</v>
      </c>
      <c r="M13" s="20" t="str">
        <f>スタメン!I13</f>
        <v>C</v>
      </c>
      <c r="N13" s="6">
        <f>スタメン!J13</f>
        <v>0</v>
      </c>
      <c r="O13" s="128">
        <f>スタメン!K13</f>
        <v>0</v>
      </c>
      <c r="P13" s="129"/>
      <c r="Q13" s="129"/>
      <c r="R13" s="130"/>
      <c r="S13" s="20" t="str">
        <f>スタメン!L13</f>
        <v>R</v>
      </c>
      <c r="U13" s="37"/>
    </row>
    <row r="14" spans="3:21" ht="40" customHeight="1">
      <c r="C14" s="20">
        <v>9</v>
      </c>
      <c r="D14" s="20" t="str">
        <f>スタメン!C14</f>
        <v>CF</v>
      </c>
      <c r="E14" s="6">
        <f>スタメン!D14</f>
        <v>0</v>
      </c>
      <c r="F14" s="128">
        <f>スタメン!E14</f>
        <v>0</v>
      </c>
      <c r="G14" s="129"/>
      <c r="H14" s="129"/>
      <c r="I14" s="130"/>
      <c r="J14" s="20" t="str">
        <f>スタメン!F14</f>
        <v>R</v>
      </c>
      <c r="L14" s="20">
        <v>9</v>
      </c>
      <c r="M14" s="20" t="str">
        <f>スタメン!I14</f>
        <v>CF</v>
      </c>
      <c r="N14" s="6">
        <f>スタメン!J14</f>
        <v>0</v>
      </c>
      <c r="O14" s="128">
        <f>スタメン!K14</f>
        <v>0</v>
      </c>
      <c r="P14" s="129"/>
      <c r="Q14" s="129"/>
      <c r="R14" s="130"/>
      <c r="S14" s="20" t="str">
        <f>スタメン!L14</f>
        <v>R</v>
      </c>
      <c r="U14" s="37"/>
    </row>
    <row r="15" spans="3:21" ht="40" customHeight="1">
      <c r="E15" s="43"/>
      <c r="F15" s="44"/>
      <c r="G15" s="44"/>
      <c r="H15" s="44"/>
      <c r="I15" s="44"/>
      <c r="L15" s="1"/>
      <c r="M15" s="1"/>
      <c r="N15" s="43"/>
      <c r="O15" s="44"/>
      <c r="P15" s="44"/>
      <c r="Q15" s="44"/>
      <c r="R15" s="44"/>
      <c r="U15" s="37"/>
    </row>
    <row r="16" spans="3:21" ht="31" thickBot="1">
      <c r="U16" s="37"/>
    </row>
    <row r="17" spans="3:21" ht="45" customHeight="1">
      <c r="C17" s="47"/>
      <c r="D17" s="48"/>
      <c r="E17" s="49"/>
      <c r="F17" s="50"/>
      <c r="G17" s="50"/>
      <c r="H17" s="50"/>
      <c r="I17" s="50"/>
      <c r="J17" s="50"/>
      <c r="K17" s="49"/>
      <c r="L17" s="50"/>
      <c r="M17" s="50"/>
      <c r="N17" s="50"/>
      <c r="O17" s="50"/>
      <c r="P17" s="50"/>
      <c r="Q17" s="50"/>
      <c r="R17" s="50"/>
      <c r="S17" s="51"/>
      <c r="U17" s="37"/>
    </row>
    <row r="18" spans="3:21" ht="45" customHeight="1">
      <c r="C18" s="52"/>
      <c r="D18" s="45"/>
      <c r="E18" s="1"/>
      <c r="J18" s="3"/>
      <c r="K18" s="1"/>
      <c r="S18" s="53"/>
    </row>
    <row r="19" spans="3:21" ht="20" customHeight="1" thickBot="1">
      <c r="C19" s="52"/>
      <c r="D19" s="45"/>
      <c r="E19" s="54"/>
      <c r="F19" s="55"/>
      <c r="G19" s="55"/>
      <c r="H19" s="55"/>
      <c r="I19" s="55"/>
      <c r="J19" s="55"/>
      <c r="K19" s="56"/>
      <c r="L19" s="55"/>
      <c r="M19" s="55"/>
      <c r="N19" s="55"/>
      <c r="O19" s="55"/>
      <c r="P19" s="55"/>
      <c r="Q19" s="55"/>
      <c r="R19" s="55"/>
      <c r="S19" s="57"/>
    </row>
    <row r="20" spans="3:21" ht="20" customHeight="1" thickTop="1">
      <c r="C20" s="58"/>
      <c r="D20" s="46"/>
      <c r="E20" s="59"/>
      <c r="F20" s="60"/>
      <c r="G20" s="60"/>
      <c r="H20" s="60"/>
      <c r="I20" s="60"/>
      <c r="J20" s="60"/>
      <c r="K20" s="61"/>
      <c r="L20" s="60"/>
      <c r="M20" s="60"/>
      <c r="N20" s="60"/>
      <c r="O20" s="60"/>
      <c r="P20" s="60"/>
      <c r="Q20" s="60"/>
      <c r="R20" s="60"/>
      <c r="S20" s="62"/>
    </row>
    <row r="21" spans="3:21" ht="45" customHeight="1">
      <c r="C21" s="52"/>
      <c r="D21" s="45"/>
      <c r="E21" s="1"/>
      <c r="F21" s="43"/>
      <c r="G21" s="43"/>
      <c r="H21" s="43"/>
      <c r="I21" s="43"/>
      <c r="J21" s="35"/>
      <c r="K21" s="1"/>
      <c r="O21" s="43"/>
      <c r="P21" s="43"/>
      <c r="Q21" s="43"/>
      <c r="R21" s="43"/>
      <c r="S21" s="63"/>
    </row>
    <row r="22" spans="3:21" ht="45" customHeight="1" thickBot="1">
      <c r="C22" s="64"/>
      <c r="D22" s="65"/>
      <c r="E22" s="66"/>
      <c r="F22" s="67"/>
      <c r="G22" s="67"/>
      <c r="H22" s="67"/>
      <c r="I22" s="67"/>
      <c r="J22" s="68"/>
      <c r="K22" s="66"/>
      <c r="L22" s="69"/>
      <c r="M22" s="69"/>
      <c r="N22" s="69"/>
      <c r="O22" s="67"/>
      <c r="P22" s="67"/>
      <c r="Q22" s="67"/>
      <c r="R22" s="67"/>
      <c r="S22" s="70"/>
    </row>
    <row r="23" spans="3:21" ht="30">
      <c r="E23" s="43"/>
      <c r="F23" s="43"/>
      <c r="G23" s="43"/>
      <c r="H23" s="43"/>
      <c r="I23" s="35"/>
      <c r="N23" s="43"/>
      <c r="O23" s="43"/>
      <c r="P23" s="43"/>
      <c r="Q23" s="43"/>
      <c r="R23" s="35"/>
      <c r="U23" s="37"/>
    </row>
    <row r="24" spans="3:21" ht="30">
      <c r="E24" s="43"/>
      <c r="F24" s="43"/>
      <c r="G24" s="43"/>
      <c r="H24" s="43"/>
      <c r="I24" s="35"/>
      <c r="N24" s="43"/>
      <c r="O24" s="43"/>
      <c r="P24" s="43"/>
      <c r="Q24" s="43"/>
      <c r="R24" s="35"/>
      <c r="U24" s="37"/>
    </row>
    <row r="25" spans="3:21">
      <c r="E25" s="43"/>
      <c r="F25" s="43"/>
      <c r="G25" s="43"/>
      <c r="H25" s="43"/>
      <c r="I25" s="35"/>
      <c r="N25" s="43"/>
      <c r="O25" s="43"/>
      <c r="P25" s="43"/>
      <c r="Q25" s="43"/>
      <c r="R25" s="35"/>
    </row>
    <row r="26" spans="3:21">
      <c r="E26" s="43"/>
      <c r="F26" s="43"/>
      <c r="G26" s="43"/>
      <c r="H26" s="43"/>
      <c r="I26" s="35"/>
      <c r="N26" s="43"/>
      <c r="O26" s="43"/>
      <c r="P26" s="43"/>
      <c r="Q26" s="43"/>
      <c r="R26" s="35"/>
    </row>
    <row r="27" spans="3:21">
      <c r="E27" s="43"/>
      <c r="F27" s="43"/>
      <c r="G27" s="43"/>
      <c r="H27" s="43"/>
      <c r="I27" s="35"/>
      <c r="N27" s="43"/>
      <c r="O27" s="43"/>
      <c r="P27" s="43"/>
      <c r="Q27" s="43"/>
      <c r="R27" s="35"/>
    </row>
    <row r="28" spans="3:21">
      <c r="E28" s="43"/>
      <c r="F28" s="43"/>
      <c r="G28" s="43"/>
      <c r="H28" s="43"/>
      <c r="I28" s="35"/>
      <c r="N28" s="43"/>
      <c r="O28" s="43"/>
      <c r="P28" s="43"/>
      <c r="Q28" s="43"/>
      <c r="R28" s="35"/>
    </row>
    <row r="29" spans="3:21">
      <c r="E29" s="43"/>
      <c r="F29" s="43"/>
      <c r="G29" s="43"/>
      <c r="H29" s="43"/>
      <c r="I29" s="35"/>
      <c r="N29" s="43"/>
      <c r="O29" s="43"/>
      <c r="P29" s="43"/>
      <c r="Q29" s="43"/>
      <c r="R29" s="35"/>
    </row>
    <row r="30" spans="3:21">
      <c r="E30" s="43"/>
      <c r="F30" s="43"/>
      <c r="G30" s="43"/>
      <c r="H30" s="43"/>
      <c r="I30" s="35"/>
      <c r="N30" s="43"/>
      <c r="O30" s="43"/>
      <c r="P30" s="43"/>
      <c r="Q30" s="43"/>
      <c r="R30" s="35"/>
    </row>
    <row r="31" spans="3:21">
      <c r="E31" s="43"/>
      <c r="F31" s="43"/>
      <c r="G31" s="43"/>
      <c r="H31" s="43"/>
      <c r="I31" s="35"/>
      <c r="N31" s="43"/>
      <c r="O31" s="43"/>
      <c r="P31" s="43"/>
      <c r="Q31" s="43"/>
      <c r="R31" s="35"/>
    </row>
    <row r="32" spans="3:21">
      <c r="E32" s="43"/>
      <c r="F32" s="43"/>
      <c r="G32" s="43"/>
      <c r="H32" s="43"/>
      <c r="I32" s="35"/>
      <c r="N32" s="43"/>
      <c r="O32" s="43"/>
      <c r="P32" s="43"/>
      <c r="Q32" s="43"/>
      <c r="R32" s="35"/>
    </row>
    <row r="33" spans="2:23">
      <c r="E33" s="43"/>
      <c r="F33" s="43"/>
      <c r="G33" s="43"/>
      <c r="H33" s="43"/>
      <c r="I33" s="35"/>
      <c r="N33" s="43"/>
      <c r="O33" s="43"/>
      <c r="P33" s="43"/>
      <c r="Q33" s="43"/>
      <c r="R33" s="35"/>
    </row>
    <row r="34" spans="2:23">
      <c r="E34" s="43"/>
      <c r="F34" s="43"/>
      <c r="G34" s="43"/>
      <c r="H34" s="43"/>
      <c r="I34" s="35"/>
      <c r="N34" s="43"/>
      <c r="O34" s="43"/>
      <c r="P34" s="43"/>
      <c r="Q34" s="43"/>
      <c r="R34" s="35"/>
    </row>
    <row r="35" spans="2:23" s="1" customFormat="1">
      <c r="B35" s="3"/>
      <c r="E35" s="43"/>
      <c r="F35" s="43"/>
      <c r="G35" s="43"/>
      <c r="H35" s="43"/>
      <c r="I35" s="35"/>
      <c r="K35" s="3"/>
      <c r="L35" s="3"/>
      <c r="M35" s="3"/>
      <c r="N35" s="43"/>
      <c r="O35" s="43"/>
      <c r="P35" s="43"/>
      <c r="Q35" s="43"/>
      <c r="R35" s="35"/>
      <c r="T35" s="3"/>
      <c r="U35" s="7"/>
      <c r="V35" s="3"/>
      <c r="W35" s="3"/>
    </row>
  </sheetData>
  <mergeCells count="26">
    <mergeCell ref="O9:R9"/>
    <mergeCell ref="F6:I6"/>
    <mergeCell ref="O6:R6"/>
    <mergeCell ref="C2:S2"/>
    <mergeCell ref="C3:J3"/>
    <mergeCell ref="L3:S3"/>
    <mergeCell ref="F4:I4"/>
    <mergeCell ref="O4:R4"/>
    <mergeCell ref="C5:J5"/>
    <mergeCell ref="L5:S5"/>
    <mergeCell ref="C1:S1"/>
    <mergeCell ref="F13:I13"/>
    <mergeCell ref="O13:R13"/>
    <mergeCell ref="F14:I14"/>
    <mergeCell ref="O14:R14"/>
    <mergeCell ref="F10:I10"/>
    <mergeCell ref="O10:R10"/>
    <mergeCell ref="F11:I11"/>
    <mergeCell ref="O11:R11"/>
    <mergeCell ref="F12:I12"/>
    <mergeCell ref="O12:R12"/>
    <mergeCell ref="F7:I7"/>
    <mergeCell ref="O7:R7"/>
    <mergeCell ref="F8:I8"/>
    <mergeCell ref="O8:R8"/>
    <mergeCell ref="F9:I9"/>
  </mergeCells>
  <phoneticPr fontId="1"/>
  <pageMargins left="0.7" right="0.7" top="0.75" bottom="0.75" header="0.3" footer="0.3"/>
  <pageSetup paperSize="9" scale="5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D1B1-195C-4E53-8A1D-55BA28C48F39}">
  <dimension ref="A1:J31"/>
  <sheetViews>
    <sheetView workbookViewId="0">
      <selection activeCell="B1" sqref="B1"/>
    </sheetView>
  </sheetViews>
  <sheetFormatPr baseColWidth="10" defaultColWidth="8.83203125" defaultRowHeight="18"/>
  <cols>
    <col min="1" max="1" width="21.33203125" customWidth="1"/>
    <col min="2" max="2" width="13.83203125" customWidth="1"/>
  </cols>
  <sheetData>
    <row r="1" spans="1:10" s="4" customFormat="1" ht="14.5" customHeight="1">
      <c r="A1" s="4" t="s">
        <v>20</v>
      </c>
      <c r="B1" s="4" t="s">
        <v>2</v>
      </c>
      <c r="C1" s="71" t="s">
        <v>21</v>
      </c>
      <c r="D1" s="5"/>
      <c r="E1" s="71"/>
      <c r="G1" s="71"/>
    </row>
    <row r="2" spans="1:10" s="4" customFormat="1" ht="14.5" customHeight="1">
      <c r="A2" s="4" t="s">
        <v>22</v>
      </c>
      <c r="B2" s="4" t="s">
        <v>12</v>
      </c>
      <c r="C2" s="71"/>
      <c r="E2" s="71"/>
      <c r="G2" s="71"/>
    </row>
    <row r="3" spans="1:10" s="4" customFormat="1" ht="14.5" customHeight="1">
      <c r="A3" s="4" t="s">
        <v>23</v>
      </c>
      <c r="B3" s="4" t="s">
        <v>11</v>
      </c>
      <c r="C3" s="71" t="s">
        <v>24</v>
      </c>
      <c r="D3" s="72">
        <v>6</v>
      </c>
      <c r="E3" s="71" t="s">
        <v>25</v>
      </c>
      <c r="F3" s="72">
        <v>3</v>
      </c>
      <c r="G3" s="71" t="s">
        <v>26</v>
      </c>
      <c r="H3" s="71" t="s">
        <v>27</v>
      </c>
      <c r="I3" s="73">
        <f>SUM(D3*30.48+F3*2.54)</f>
        <v>190.5</v>
      </c>
      <c r="J3" s="4" t="s">
        <v>28</v>
      </c>
    </row>
    <row r="4" spans="1:10" s="4" customFormat="1" ht="14.5" customHeight="1">
      <c r="A4" s="4" t="s">
        <v>29</v>
      </c>
      <c r="B4" s="4" t="s">
        <v>9</v>
      </c>
      <c r="C4" s="71"/>
      <c r="E4" s="71"/>
      <c r="G4" s="71"/>
      <c r="H4" s="71"/>
      <c r="I4" s="73"/>
    </row>
    <row r="5" spans="1:10" s="4" customFormat="1" ht="14.5" customHeight="1">
      <c r="A5" s="4" t="s">
        <v>30</v>
      </c>
      <c r="B5" s="4" t="s">
        <v>10</v>
      </c>
      <c r="C5" s="71" t="s">
        <v>31</v>
      </c>
      <c r="D5" s="72">
        <v>225</v>
      </c>
      <c r="E5" s="71" t="s">
        <v>32</v>
      </c>
      <c r="G5" s="71"/>
      <c r="H5" s="71" t="s">
        <v>27</v>
      </c>
      <c r="I5" s="73">
        <f>SUM(D5*0.45359237)</f>
        <v>102.05828325</v>
      </c>
      <c r="J5" s="4" t="s">
        <v>33</v>
      </c>
    </row>
    <row r="6" spans="1:10" s="4" customFormat="1" ht="14.5" customHeight="1">
      <c r="A6" s="4" t="s">
        <v>34</v>
      </c>
      <c r="B6" s="4" t="s">
        <v>8</v>
      </c>
    </row>
    <row r="7" spans="1:10" s="4" customFormat="1" ht="14.5" customHeight="1">
      <c r="A7" s="4" t="s">
        <v>35</v>
      </c>
      <c r="B7" s="4" t="s">
        <v>7</v>
      </c>
    </row>
    <row r="8" spans="1:10" s="4" customFormat="1" ht="15">
      <c r="A8" s="4" t="s">
        <v>36</v>
      </c>
      <c r="B8" s="4" t="s">
        <v>5</v>
      </c>
    </row>
    <row r="9" spans="1:10" s="4" customFormat="1" ht="15">
      <c r="A9" s="4" t="s">
        <v>37</v>
      </c>
      <c r="B9" s="4" t="s">
        <v>6</v>
      </c>
    </row>
    <row r="10" spans="1:10" s="4" customFormat="1" ht="15">
      <c r="A10" s="4" t="s">
        <v>38</v>
      </c>
      <c r="B10" s="4" t="s">
        <v>13</v>
      </c>
    </row>
    <row r="11" spans="1:10" s="4" customFormat="1" ht="15">
      <c r="A11" s="4" t="s">
        <v>39</v>
      </c>
      <c r="B11" s="4" t="s">
        <v>40</v>
      </c>
    </row>
    <row r="12" spans="1:10" s="4" customFormat="1" ht="15">
      <c r="A12" s="4" t="s">
        <v>41</v>
      </c>
      <c r="B12" s="4" t="s">
        <v>42</v>
      </c>
    </row>
    <row r="13" spans="1:10" s="4" customFormat="1" ht="15">
      <c r="A13" s="4" t="s">
        <v>43</v>
      </c>
      <c r="B13" s="4" t="s">
        <v>44</v>
      </c>
    </row>
    <row r="14" spans="1:10" s="4" customFormat="1" ht="15">
      <c r="A14" s="4" t="s">
        <v>45</v>
      </c>
    </row>
    <row r="15" spans="1:10" s="4" customFormat="1" ht="15">
      <c r="A15" s="4" t="s">
        <v>46</v>
      </c>
    </row>
    <row r="16" spans="1:10" s="4" customFormat="1" ht="15">
      <c r="A16" s="4" t="s">
        <v>47</v>
      </c>
    </row>
    <row r="17" spans="1:1" s="4" customFormat="1" ht="15">
      <c r="A17" s="4" t="s">
        <v>48</v>
      </c>
    </row>
    <row r="18" spans="1:1" s="4" customFormat="1" ht="15">
      <c r="A18" s="4" t="s">
        <v>49</v>
      </c>
    </row>
    <row r="19" spans="1:1" s="4" customFormat="1" ht="15">
      <c r="A19" s="4" t="s">
        <v>50</v>
      </c>
    </row>
    <row r="20" spans="1:1" s="4" customFormat="1" ht="15">
      <c r="A20" s="4" t="s">
        <v>51</v>
      </c>
    </row>
    <row r="21" spans="1:1" s="4" customFormat="1" ht="15">
      <c r="A21" s="4" t="s">
        <v>52</v>
      </c>
    </row>
    <row r="22" spans="1:1" s="4" customFormat="1" ht="15">
      <c r="A22" s="4" t="s">
        <v>53</v>
      </c>
    </row>
    <row r="23" spans="1:1" s="4" customFormat="1" ht="15">
      <c r="A23" s="4" t="s">
        <v>54</v>
      </c>
    </row>
    <row r="24" spans="1:1" s="4" customFormat="1" ht="15">
      <c r="A24" s="4" t="s">
        <v>55</v>
      </c>
    </row>
    <row r="25" spans="1:1" s="4" customFormat="1" ht="15">
      <c r="A25" s="4" t="s">
        <v>56</v>
      </c>
    </row>
    <row r="26" spans="1:1" s="4" customFormat="1" ht="15">
      <c r="A26" s="4" t="s">
        <v>57</v>
      </c>
    </row>
    <row r="27" spans="1:1" s="4" customFormat="1" ht="15">
      <c r="A27" s="4" t="s">
        <v>58</v>
      </c>
    </row>
    <row r="28" spans="1:1" s="4" customFormat="1" ht="15">
      <c r="A28" s="4" t="s">
        <v>59</v>
      </c>
    </row>
    <row r="29" spans="1:1" s="4" customFormat="1" ht="15">
      <c r="A29" s="4" t="s">
        <v>60</v>
      </c>
    </row>
    <row r="30" spans="1:1" s="4" customFormat="1" ht="15">
      <c r="A30" s="4" t="s">
        <v>61</v>
      </c>
    </row>
    <row r="31" spans="1:1">
      <c r="A31" s="4" t="s">
        <v>62</v>
      </c>
    </row>
  </sheetData>
  <phoneticPr fontId="1"/>
  <pageMargins left="0.7" right="0.7" top="0.75" bottom="0.75" header="0.3" footer="0.3"/>
  <pageSetup paperSize="9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5aadb4-a268-4129-98d0-044d47236b53">
      <Terms xmlns="http://schemas.microsoft.com/office/infopath/2007/PartnerControls"/>
    </lcf76f155ced4ddcb4097134ff3c332f>
    <TaxCatchAll xmlns="21d63924-12f0-4302-bdd1-1d2544e79a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E736ED8AB63DA44A99FDE8EDC147B8D" ma:contentTypeVersion="14" ma:contentTypeDescription="新しいドキュメントを作成します。" ma:contentTypeScope="" ma:versionID="9ee1ec39a9b86a63558381cd87a0b747">
  <xsd:schema xmlns:xsd="http://www.w3.org/2001/XMLSchema" xmlns:xs="http://www.w3.org/2001/XMLSchema" xmlns:p="http://schemas.microsoft.com/office/2006/metadata/properties" xmlns:ns2="a35aadb4-a268-4129-98d0-044d47236b53" xmlns:ns3="21d63924-12f0-4302-bdd1-1d2544e79adb" targetNamespace="http://schemas.microsoft.com/office/2006/metadata/properties" ma:root="true" ma:fieldsID="ee37b565929253287df4017a44c02752" ns2:_="" ns3:_="">
    <xsd:import namespace="a35aadb4-a268-4129-98d0-044d47236b53"/>
    <xsd:import namespace="21d63924-12f0-4302-bdd1-1d2544e79ad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aadb4-a268-4129-98d0-044d47236b5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画像タグ" ma:readOnly="false" ma:fieldId="{5cf76f15-5ced-4ddc-b409-7134ff3c332f}" ma:taxonomyMulti="true" ma:sspId="82868237-4b21-483b-9898-a6eb1c6a9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63924-12f0-4302-bdd1-1d2544e79ad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8b716b1-2c76-4f3e-8d1c-8b4ef32112f9}" ma:internalName="TaxCatchAll" ma:showField="CatchAllData" ma:web="21d63924-12f0-4302-bdd1-1d2544e79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51364-E3A8-4BF1-8ABE-02A20B179CE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FB6A1FA-F469-47E0-A3D6-B72AF0A19701}">
  <ds:schemaRefs>
    <ds:schemaRef ds:uri="http://schemas.microsoft.com/office/2006/metadata/properties"/>
    <ds:schemaRef ds:uri="http://schemas.microsoft.com/office/infopath/2007/PartnerControls"/>
    <ds:schemaRef ds:uri="a35aadb4-a268-4129-98d0-044d47236b53"/>
    <ds:schemaRef ds:uri="21d63924-12f0-4302-bdd1-1d2544e79adb"/>
  </ds:schemaRefs>
</ds:datastoreItem>
</file>

<file path=customXml/itemProps3.xml><?xml version="1.0" encoding="utf-8"?>
<ds:datastoreItem xmlns:ds="http://schemas.openxmlformats.org/officeDocument/2006/customXml" ds:itemID="{FF114756-0F49-4682-9D3F-78D88AF62C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4526ABA-5BEC-491B-829A-45FE1DE0D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aadb4-a268-4129-98d0-044d47236b53"/>
    <ds:schemaRef ds:uri="21d63924-12f0-4302-bdd1-1d2544e79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スタメン</vt:lpstr>
      <vt:lpstr>守備</vt:lpstr>
      <vt:lpstr>表</vt:lpstr>
      <vt:lpstr>裏</vt:lpstr>
      <vt:lpstr>スタメン制作CG分</vt:lpstr>
      <vt:lpstr>date</vt:lpstr>
      <vt:lpstr>スタメン!Extract</vt:lpstr>
      <vt:lpstr>スタメン制作CG分!Extract</vt:lpstr>
      <vt:lpstr>守備!Extract</vt:lpstr>
      <vt:lpstr>表!Extract</vt:lpstr>
      <vt:lpstr>裏!Extract</vt:lpstr>
      <vt:lpstr>スタメン!Print_Area</vt:lpstr>
      <vt:lpstr>スタメン制作CG分!Print_Area</vt:lpstr>
      <vt:lpstr>守備!Print_Area</vt:lpstr>
      <vt:lpstr>表!Print_Area</vt:lpstr>
      <vt:lpstr>裏!Print_Area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m-suzuki</dc:creator>
  <cp:keywords/>
  <dc:description/>
  <cp:lastModifiedBy>暁弘 平本</cp:lastModifiedBy>
  <cp:revision/>
  <cp:lastPrinted>2025-05-19T21:29:26Z</cp:lastPrinted>
  <dcterms:created xsi:type="dcterms:W3CDTF">2020-07-25T01:34:26Z</dcterms:created>
  <dcterms:modified xsi:type="dcterms:W3CDTF">2026-09-01T00:41:48Z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0x010100AE736ED8AB63DA44A99FDE8EDC147B8D</vt:lpwstr>
  </property>
  <property fmtid="{D5CDD505-2E9C-101B-9397-08002B2CF9AE}" pid="3" name="MediaServiceImageTags">
    <vt:lpwstr/>
  </property>
</Properties>
</file>